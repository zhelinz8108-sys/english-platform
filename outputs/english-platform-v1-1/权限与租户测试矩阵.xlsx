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fb81b6979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cd40aef6b894367"/>
    <x:sheet xmlns:r="http://schemas.openxmlformats.org/officeDocument/2006/relationships" name="权限矩阵" sheetId="2" r:id="R35d8bf17f31f4a67"/>
    <x:sheet xmlns:r="http://schemas.openxmlformats.org/officeDocument/2006/relationships" name="测试用例" sheetId="3" r:id="R1d7e6e618ca944a2"/>
    <x:sheet xmlns:r="http://schemas.openxmlformats.org/officeDocument/2006/relationships" name="RLS验证" sheetId="4" r:id="Refef8f34dcab438e"/>
    <x:sheet xmlns:r="http://schemas.openxmlformats.org/officeDocument/2006/relationships" name="性能运维" sheetId="5" r:id="R4d7e02c3d7d3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E74B5"/>
      </x:patternFill>
    </x:fill>
  </x:fills>
  <x:borders count="5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0D5DD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</x:cellXfs>
  <x:cellStyles count="1">
    <x:cellStyle name="Normal" xfId="0"/>
  </x:cellStyles>
  <x:dxfs count="12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DEBF7"/>
        </x:patternFill>
      </x:fill>
    </x:dxf>
    <x:dxf>
      <x:font>
        <x:b/>
        <x:color rgb="FF1A7F37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7A5A00"/>
      </x:font>
      <x:fill>
        <x:patternFill patternType="solid">
          <x:bgColor rgb="FFFFF2CC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A7F37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A7F37"/>
      </x:font>
      <x:fill>
        <x:patternFill patternType="solid">
          <x:bgColor rgb="FFE2F0D9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be86c37cc4663" /><Relationship Type="http://schemas.openxmlformats.org/officeDocument/2006/relationships/theme" Target="/xl/theme/theme1.xml" Id="R6fb1a615ad3f47cc" /><Relationship Type="http://schemas.openxmlformats.org/officeDocument/2006/relationships/sharedStrings" Target="/xl/sharedStrings.xml" Id="Rbcc73cba9aa94218" /><Relationship Type="http://schemas.openxmlformats.org/officeDocument/2006/relationships/worksheet" Target="/xl/worksheets/sheet1.xml" Id="Rfcd40aef6b894367" /><Relationship Type="http://schemas.openxmlformats.org/officeDocument/2006/relationships/worksheet" Target="/xl/worksheets/sheet2.xml" Id="R35d8bf17f31f4a67" /><Relationship Type="http://schemas.openxmlformats.org/officeDocument/2006/relationships/worksheet" Target="/xl/worksheets/sheet3.xml" Id="R1d7e6e618ca944a2" /><Relationship Type="http://schemas.openxmlformats.org/officeDocument/2006/relationships/worksheet" Target="/xl/worksheets/sheet4.xml" Id="Refef8f34dcab438e" /><Relationship Type="http://schemas.openxmlformats.org/officeDocument/2006/relationships/worksheet" Target="/xl/worksheets/sheet5.xml" Id="R4d7e02c3d7d3436c" /></Relationships>
</file>

<file path=xl/tables/table1.xml><?xml version="1.0" encoding="utf-8"?>
<x:table xmlns:x="http://schemas.openxmlformats.org/spreadsheetml/2006/main" id="1" name="PermissionMatrixTable" displayName="PermissionMatrixTable" ref="A4:J24" headerRowCount="1" totalsRowCount="0" totalsRowShown="0">
  <x:tableColumns count="10">
    <x:tableColumn id="1" name="资源"/>
    <x:tableColumn id="2" name="操作"/>
    <x:tableColumn id="3" name="学生本人"/>
    <x:tableColumn id="4" name="其他学生"/>
    <x:tableColumn id="5" name="关联教师"/>
    <x:tableColumn id="6" name="无关教师"/>
    <x:tableColumn id="7" name="租户管理员"/>
    <x:tableColumn id="8" name="超级管理员"/>
    <x:tableColumn id="9" name="审计"/>
    <x:tableColumn id="10" name="关键约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CasesTable" displayName="TestCasesTable" ref="A4:N69" headerRowCount="1" totalsRowCount="0" totalsRowShown="0">
  <x:tableColumns count="14">
    <x:tableColumn id="1" name="ID"/>
    <x:tableColumn id="2" name="Domain"/>
    <x:tableColumn id="3" name="Scenario"/>
    <x:tableColumn id="4" name="Actor"/>
    <x:tableColumn id="5" name="Tenant Context"/>
    <x:tableColumn id="6" name="Preconditions"/>
    <x:tableColumn id="7" name="Steps"/>
    <x:tableColumn id="8" name="Expected API/DB"/>
    <x:tableColumn id="9" name="Expected Result"/>
    <x:tableColumn id="10" name="Priority"/>
    <x:tableColumn id="11" name="Layer"/>
    <x:tableColumn id="12" name="Automation"/>
    <x:tableColumn id="13" name="Status"/>
    <x:tableColumn id="14" name="Evidence / Own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lsTestTable" displayName="RlsTestTable" ref="A4:J24" headerRowCount="1" totalsRowCount="0" totalsRowShown="0">
  <x:tableColumns count="10">
    <x:tableColumn id="1" name="ID"/>
    <x:tableColumn id="2" name="Table / Layer"/>
    <x:tableColumn id="3" name="Scenario"/>
    <x:tableColumn id="4" name="Session Context"/>
    <x:tableColumn id="5" name="Operation"/>
    <x:tableColumn id="6" name="Expected DB Result"/>
    <x:tableColumn id="7" name="Expected API Result"/>
    <x:tableColumn id="8" name="Priority"/>
    <x:tableColumn id="9" name="Status"/>
    <x:tableColumn id="10" name="Evidence / 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sTestTable" displayName="OpsTestTable" ref="A4:I18" headerRowCount="1" totalsRowCount="0" totalsRowShown="0">
  <x:tableColumns count="9">
    <x:tableColumn id="1" name="ID"/>
    <x:tableColumn id="2" name="Category"/>
    <x:tableColumn id="3" name="Scenario"/>
    <x:tableColumn id="4" name="Load / Failure"/>
    <x:tableColumn id="5" name="Metric"/>
    <x:tableColumn id="6" name="Acceptance"/>
    <x:tableColumn id="7" name="Priority"/>
    <x:tableColumn id="8" name="Status"/>
    <x:tableColumn id="9" name="Evidence / 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82e883c49043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4627111fe14b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0d3d76c6e743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d4e6bf903d42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3" t="str">
        <x:v>个性化英语学习平台 V1.1｜权限与租户测试矩阵</x:v>
      </x:c>
      <x:c r="B1" s="3" t="str">
        <x:v>个性化英语学习平台 V1.1｜权限与租户测试矩阵</x:v>
      </x:c>
      <x:c r="C1" s="3" t="str">
        <x:v>个性化英语学习平台 V1.1｜权限与租户测试矩阵</x:v>
      </x:c>
      <x:c r="D1" s="3" t="str">
        <x:v>个性化英语学习平台 V1.1｜权限与租户测试矩阵</x:v>
      </x:c>
      <x:c r="E1" s="3" t="str">
        <x:v>个性化英语学习平台 V1.1｜权限与租户测试矩阵</x:v>
      </x:c>
      <x:c r="F1" s="3" t="str">
        <x:v>个性化英语学习平台 V1.1｜权限与租户测试矩阵</x:v>
      </x:c>
      <x:c r="G1" s="3" t="str">
        <x:v>个性化英语学习平台 V1.1｜权限与租户测试矩阵</x:v>
      </x:c>
      <x:c r="H1" s="3" t="str">
        <x:v>个性化英语学习平台 V1.1｜权限与租户测试矩阵</x:v>
      </x:c>
    </x:row>
    <x:row r="2" ht="28" customHeight="1">
      <x:c r="A2" s="7" t="str">
        <x:v>用于设计评审、开发验收和上线门禁。状态列由执行人员维护，汇总区域通过公式自动更新。</x:v>
      </x:c>
      <x:c r="B2" s="7" t="str">
        <x:v>用于设计评审、开发验收和上线门禁。状态列由执行人员维护，汇总区域通过公式自动更新。</x:v>
      </x:c>
      <x:c r="C2" s="7" t="str">
        <x:v>用于设计评审、开发验收和上线门禁。状态列由执行人员维护，汇总区域通过公式自动更新。</x:v>
      </x:c>
      <x:c r="D2" s="7" t="str">
        <x:v>用于设计评审、开发验收和上线门禁。状态列由执行人员维护，汇总区域通过公式自动更新。</x:v>
      </x:c>
      <x:c r="E2" s="7" t="str">
        <x:v>用于设计评审、开发验收和上线门禁。状态列由执行人员维护，汇总区域通过公式自动更新。</x:v>
      </x:c>
      <x:c r="F2" s="7" t="str">
        <x:v>用于设计评审、开发验收和上线门禁。状态列由执行人员维护，汇总区域通过公式自动更新。</x:v>
      </x:c>
      <x:c r="G2" s="7" t="str">
        <x:v>用于设计评审、开发验收和上线门禁。状态列由执行人员维护，汇总区域通过公式自动更新。</x:v>
      </x:c>
      <x:c r="H2" s="7" t="str">
        <x:v>用于设计评审、开发验收和上线门禁。状态列由执行人员维护，汇总区域通过公式自动更新。</x:v>
      </x:c>
    </x:row>
    <x:row r="4" ht="32" customHeight="1">
      <x:c r="A4" s="13" t="str">
        <x:v>指标</x:v>
      </x:c>
      <x:c r="B4" s="13" t="str">
        <x:v>值</x:v>
      </x:c>
    </x:row>
    <x:row r="5">
      <x:c r="A5" s="21" t="str">
        <x:v>功能/安全用例总数</x:v>
      </x:c>
      <x:c r="B5" s="21" t="n">
        <x:f>COUNTA('测试用例'!A5:A200)</x:f>
        <x:v>65</x:v>
      </x:c>
    </x:row>
    <x:row r="6">
      <x:c r="A6" s="22" t="str">
        <x:v>P0 用例</x:v>
      </x:c>
      <x:c r="B6" s="22" t="n">
        <x:f>COUNTIF('测试用例'!J5:J200,"P0")</x:f>
        <x:v>47</x:v>
      </x:c>
    </x:row>
    <x:row r="7">
      <x:c r="A7" s="22" t="str">
        <x:v>目标自动化用例</x:v>
      </x:c>
      <x:c r="B7" s="22" t="n">
        <x:f>COUNTIF('测试用例'!L5:L200,"是")</x:f>
        <x:v>62</x:v>
      </x:c>
    </x:row>
    <x:row r="8">
      <x:c r="A8" s="22" t="str">
        <x:v>当前未执行</x:v>
      </x:c>
      <x:c r="B8" s="22" t="n">
        <x:f>COUNTIF('测试用例'!M5:M200,"未执行")</x:f>
        <x:v>65</x:v>
      </x:c>
    </x:row>
    <x:row r="9">
      <x:c r="A9" s="22" t="str">
        <x:v>RLS 数据库用例</x:v>
      </x:c>
      <x:c r="B9" s="22" t="n">
        <x:f>COUNTA('RLS验证'!A5:A100)</x:f>
        <x:v>20</x:v>
      </x:c>
    </x:row>
    <x:row r="10">
      <x:c r="A10" s="23" t="str">
        <x:v>性能与运维用例</x:v>
      </x:c>
      <x:c r="B10" s="23" t="n">
        <x:f>COUNTA('性能运维'!A5:A100)</x:f>
        <x:v>14</x:v>
      </x:c>
    </x:row>
    <x:row r="12">
      <x:c r="A12" s="24" t="str">
        <x:v>执行约定</x:v>
      </x:c>
      <x:c r="B12" s="24" t="str">
        <x:v>执行约定</x:v>
      </x:c>
      <x:c r="C12" s="24" t="str">
        <x:v>执行约定</x:v>
      </x:c>
      <x:c r="D12" s="24" t="str">
        <x:v>执行约定</x:v>
      </x:c>
      <x:c r="E12" s="24" t="str">
        <x:v>执行约定</x:v>
      </x:c>
      <x:c r="F12" s="24" t="str">
        <x:v>执行约定</x:v>
      </x:c>
      <x:c r="G12" s="24" t="str">
        <x:v>执行约定</x:v>
      </x:c>
      <x:c r="H12" s="24" t="str">
        <x:v>执行约定</x:v>
      </x:c>
    </x:row>
    <x:row r="13" ht="30" customHeight="1">
      <x:c r="A13" s="21" t="str">
        <x:v>1</x:v>
      </x:c>
      <x:c r="B13" s="21" t="str">
        <x:v>P0 为上线阻断项；P1 必须在正式发布前关闭；P2 可进入已批准的技术债清单。</x:v>
      </x:c>
      <x:c r="C13" s="21"/>
      <x:c r="D13" s="21"/>
      <x:c r="E13" s="21"/>
      <x:c r="F13" s="21"/>
      <x:c r="G13" s="21"/>
      <x:c r="H13" s="21"/>
    </x:row>
    <x:row r="14" ht="30" customHeight="1">
      <x:c r="A14" s="22" t="str">
        <x:v>2</x:v>
      </x:c>
      <x:c r="B14" s="22" t="str">
        <x:v>租户隔离用例必须使用运行时数据库角色，不能使用表所有者或 BYPASSRLS 账号。</x:v>
      </x:c>
      <x:c r="C14" s="22"/>
      <x:c r="D14" s="22"/>
      <x:c r="E14" s="22"/>
      <x:c r="F14" s="22"/>
      <x:c r="G14" s="22"/>
      <x:c r="H14" s="22"/>
    </x:row>
    <x:row r="15" ht="30" customHeight="1">
      <x:c r="A15" s="22" t="str">
        <x:v>3</x:v>
      </x:c>
      <x:c r="B15" s="22" t="str">
        <x:v>无权获知资源存在时返回 404；资源已知但操作权限不足时返回 403。</x:v>
      </x:c>
      <x:c r="C15" s="22"/>
      <x:c r="D15" s="22"/>
      <x:c r="E15" s="22"/>
      <x:c r="F15" s="22"/>
      <x:c r="G15" s="22"/>
      <x:c r="H15" s="22"/>
    </x:row>
    <x:row r="16" ht="30" customHeight="1">
      <x:c r="A16" s="22" t="str">
        <x:v>4</x:v>
      </x:c>
      <x:c r="B16" s="22" t="str">
        <x:v>所有时间以 UTC RFC3339 传输，数据库使用 timestamptz；界面按用户时区显示。</x:v>
      </x:c>
      <x:c r="C16" s="22"/>
      <x:c r="D16" s="22"/>
      <x:c r="E16" s="22"/>
      <x:c r="F16" s="22"/>
      <x:c r="G16" s="22"/>
      <x:c r="H16" s="22"/>
    </x:row>
    <x:row r="17" ht="30" customHeight="1">
      <x:c r="A17" s="22" t="str">
        <x:v>5</x:v>
      </x:c>
      <x:c r="B17" s="22" t="str">
        <x:v>发布、分配、开始、提交、评分和退回必须验证 Idempotency-Key；自动保存使用 ETag/If-Match。</x:v>
      </x:c>
      <x:c r="C17" s="22"/>
      <x:c r="D17" s="22"/>
      <x:c r="E17" s="22"/>
      <x:c r="F17" s="22"/>
      <x:c r="G17" s="22"/>
      <x:c r="H17" s="22"/>
    </x:row>
    <x:row r="18" ht="30" customHeight="1">
      <x:c r="A18" s="22" t="str">
        <x:v>6</x:v>
      </x:c>
      <x:c r="B18" s="22" t="str">
        <x:v>证据列填写自动化报告、日志 request_id、SQL 断言或截图位置，不粘贴敏感学生数据。</x:v>
      </x:c>
      <x:c r="C18" s="22"/>
      <x:c r="D18" s="22"/>
      <x:c r="E18" s="22"/>
      <x:c r="F18" s="22"/>
      <x:c r="G18" s="22"/>
      <x:c r="H18" s="22"/>
    </x:row>
    <x:row r="19" ht="30" customHeight="1">
      <x:c r="A19" s="23" t="str">
        <x:v>7</x:v>
      </x:c>
      <x:c r="B19" s="23" t="str">
        <x:v>生产上线前必须完成隐私、未成年人数据保留期限和境内存储策略签字。</x:v>
      </x:c>
      <x:c r="C19" s="23"/>
      <x:c r="D19" s="23"/>
      <x:c r="E19" s="23"/>
      <x:c r="F19" s="23"/>
      <x:c r="G19" s="23"/>
      <x:c r="H19" s="23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42" hidden="0" customWidth="1"/>
  </x:cols>
  <x:sheetData>
    <x:row r="1" ht="32" customHeight="1">
      <x:c r="A1" s="3" t="str">
        <x:v>资源权限矩阵</x:v>
      </x:c>
      <x:c r="B1" s="3" t="str">
        <x:v>资源权限矩阵</x:v>
      </x:c>
      <x:c r="C1" s="3" t="str">
        <x:v>资源权限矩阵</x:v>
      </x:c>
      <x:c r="D1" s="3" t="str">
        <x:v>资源权限矩阵</x:v>
      </x:c>
      <x:c r="E1" s="3" t="str">
        <x:v>资源权限矩阵</x:v>
      </x:c>
      <x:c r="F1" s="3" t="str">
        <x:v>资源权限矩阵</x:v>
      </x:c>
      <x:c r="G1" s="3" t="str">
        <x:v>资源权限矩阵</x:v>
      </x:c>
      <x:c r="H1" s="3" t="str">
        <x:v>资源权限矩阵</x:v>
      </x:c>
      <x:c r="I1" s="3" t="str">
        <x:v>资源权限矩阵</x:v>
      </x:c>
      <x:c r="J1" s="3" t="str">
        <x:v>资源权限矩阵</x:v>
      </x:c>
    </x:row>
    <x:row r="2" ht="28" customHeight="1">
      <x:c r="A2" s="7" t="str">
        <x:v>结果编码：允许 / 404 / 403 / 临时提权。所有“允许”仍受 tenant_id、资源关系和对象状态约束。</x:v>
      </x:c>
      <x:c r="B2" s="7" t="str">
        <x:v>结果编码：允许 / 404 / 403 / 临时提权。所有“允许”仍受 tenant_id、资源关系和对象状态约束。</x:v>
      </x:c>
      <x:c r="C2" s="7" t="str">
        <x:v>结果编码：允许 / 404 / 403 / 临时提权。所有“允许”仍受 tenant_id、资源关系和对象状态约束。</x:v>
      </x:c>
      <x:c r="D2" s="7" t="str">
        <x:v>结果编码：允许 / 404 / 403 / 临时提权。所有“允许”仍受 tenant_id、资源关系和对象状态约束。</x:v>
      </x:c>
      <x:c r="E2" s="7" t="str">
        <x:v>结果编码：允许 / 404 / 403 / 临时提权。所有“允许”仍受 tenant_id、资源关系和对象状态约束。</x:v>
      </x:c>
      <x:c r="F2" s="7" t="str">
        <x:v>结果编码：允许 / 404 / 403 / 临时提权。所有“允许”仍受 tenant_id、资源关系和对象状态约束。</x:v>
      </x:c>
      <x:c r="G2" s="7" t="str">
        <x:v>结果编码：允许 / 404 / 403 / 临时提权。所有“允许”仍受 tenant_id、资源关系和对象状态约束。</x:v>
      </x:c>
      <x:c r="H2" s="7" t="str">
        <x:v>结果编码：允许 / 404 / 403 / 临时提权。所有“允许”仍受 tenant_id、资源关系和对象状态约束。</x:v>
      </x:c>
      <x:c r="I2" s="7" t="str">
        <x:v>结果编码：允许 / 404 / 403 / 临时提权。所有“允许”仍受 tenant_id、资源关系和对象状态约束。</x:v>
      </x:c>
      <x:c r="J2" s="7" t="str">
        <x:v>结果编码：允许 / 404 / 403 / 临时提权。所有“允许”仍受 tenant_id、资源关系和对象状态约束。</x:v>
      </x:c>
    </x:row>
    <x:row r="4" ht="32" customHeight="1">
      <x:c r="A4" s="13" t="str">
        <x:v>资源</x:v>
      </x:c>
      <x:c r="B4" s="13" t="str">
        <x:v>操作</x:v>
      </x:c>
      <x:c r="C4" s="13" t="str">
        <x:v>学生本人</x:v>
      </x:c>
      <x:c r="D4" s="13" t="str">
        <x:v>其他学生</x:v>
      </x:c>
      <x:c r="E4" s="13" t="str">
        <x:v>关联教师</x:v>
      </x:c>
      <x:c r="F4" s="13" t="str">
        <x:v>无关教师</x:v>
      </x:c>
      <x:c r="G4" s="13" t="str">
        <x:v>租户管理员</x:v>
      </x:c>
      <x:c r="H4" s="13" t="str">
        <x:v>超级管理员</x:v>
      </x:c>
      <x:c r="I4" s="13" t="str">
        <x:v>审计</x:v>
      </x:c>
      <x:c r="J4" s="13" t="str">
        <x:v>关键约束</x:v>
      </x:c>
    </x:row>
    <x:row r="5" ht="42" customHeight="1">
      <x:c r="A5" s="21" t="str">
        <x:v>StudentProfile</x:v>
      </x:c>
      <x:c r="B5" s="21" t="str">
        <x:v>读取</x:v>
      </x:c>
      <x:c r="C5" s="21" t="str">
        <x:v>允许</x:v>
      </x:c>
      <x:c r="D5" s="21" t="str">
        <x:v>404</x:v>
      </x:c>
      <x:c r="E5" s="21" t="str">
        <x:v>允许</x:v>
      </x:c>
      <x:c r="F5" s="21" t="str">
        <x:v>404</x:v>
      </x:c>
      <x:c r="G5" s="21" t="str">
        <x:v>允许</x:v>
      </x:c>
      <x:c r="H5" s="21" t="str">
        <x:v>临时提权</x:v>
      </x:c>
      <x:c r="I5" s="21" t="str">
        <x:v>读取敏感字段</x:v>
      </x:c>
      <x:c r="J5" s="21" t="str">
        <x:v>教师必须存在 student_teacher_link 或 class_teacher 关系</x:v>
      </x:c>
    </x:row>
    <x:row r="6" ht="42" customHeight="1">
      <x:c r="A6" s="22" t="str">
        <x:v>StudentProfile</x:v>
      </x:c>
      <x:c r="B6" s="22" t="str">
        <x:v>修改</x:v>
      </x:c>
      <x:c r="C6" s="22" t="str">
        <x:v>有限允许</x:v>
      </x:c>
      <x:c r="D6" s="22" t="str">
        <x:v>404</x:v>
      </x:c>
      <x:c r="E6" s="22" t="str">
        <x:v>有限允许</x:v>
      </x:c>
      <x:c r="F6" s="22" t="str">
        <x:v>404</x:v>
      </x:c>
      <x:c r="G6" s="22" t="str">
        <x:v>允许</x:v>
      </x:c>
      <x:c r="H6" s="22" t="str">
        <x:v>临时提权</x:v>
      </x:c>
      <x:c r="I6" s="22" t="str">
        <x:v>是</x:v>
      </x:c>
      <x:c r="J6" s="22" t="str">
        <x:v>角色、租户和成绩字段不可由学生修改</x:v>
      </x:c>
    </x:row>
    <x:row r="7" ht="42" customHeight="1">
      <x:c r="A7" s="22" t="str">
        <x:v>TenantMembership</x:v>
      </x:c>
      <x:c r="B7" s="22" t="str">
        <x:v>邀请/授予角色</x:v>
      </x:c>
      <x:c r="C7" s="22" t="str">
        <x:v>403</x:v>
      </x:c>
      <x:c r="D7" s="22" t="str">
        <x:v>403</x:v>
      </x:c>
      <x:c r="E7" s="22" t="str">
        <x:v>403</x:v>
      </x:c>
      <x:c r="F7" s="22" t="str">
        <x:v>403</x:v>
      </x:c>
      <x:c r="G7" s="22" t="str">
        <x:v>允许</x:v>
      </x:c>
      <x:c r="H7" s="22" t="str">
        <x:v>允许</x:v>
      </x:c>
      <x:c r="I7" s="22" t="str">
        <x:v>是</x:v>
      </x:c>
      <x:c r="J7" s="22" t="str">
        <x:v>禁止授予自身不拥有的角色</x:v>
      </x:c>
    </x:row>
    <x:row r="8" ht="42" customHeight="1">
      <x:c r="A8" s="22" t="str">
        <x:v>Class</x:v>
      </x:c>
      <x:c r="B8" s="22" t="str">
        <x:v>读取</x:v>
      </x:c>
      <x:c r="C8" s="22" t="str">
        <x:v>本人所在班级</x:v>
      </x:c>
      <x:c r="D8" s="22" t="str">
        <x:v>404</x:v>
      </x:c>
      <x:c r="E8" s="22" t="str">
        <x:v>任教班级</x:v>
      </x:c>
      <x:c r="F8" s="22" t="str">
        <x:v>404</x:v>
      </x:c>
      <x:c r="G8" s="22" t="str">
        <x:v>允许</x:v>
      </x:c>
      <x:c r="H8" s="22" t="str">
        <x:v>临时提权</x:v>
      </x:c>
      <x:c r="I8" s="22" t="str">
        <x:v>否</x:v>
      </x:c>
      <x:c r="J8" s="22" t="str">
        <x:v>所有 class_* 关系必须同 tenant_id</x:v>
      </x:c>
    </x:row>
    <x:row r="9" ht="42" customHeight="1">
      <x:c r="A9" s="22" t="str">
        <x:v>Class</x:v>
      </x:c>
      <x:c r="B9" s="22" t="str">
        <x:v>增删成员</x:v>
      </x:c>
      <x:c r="C9" s="22" t="str">
        <x:v>403</x:v>
      </x:c>
      <x:c r="D9" s="22" t="str">
        <x:v>403</x:v>
      </x:c>
      <x:c r="E9" s="22" t="str">
        <x:v>任教班级</x:v>
      </x:c>
      <x:c r="F9" s="22" t="str">
        <x:v>404</x:v>
      </x:c>
      <x:c r="G9" s="22" t="str">
        <x:v>允许</x:v>
      </x:c>
      <x:c r="H9" s="22" t="str">
        <x:v>临时提权</x:v>
      </x:c>
      <x:c r="I9" s="22" t="str">
        <x:v>是</x:v>
      </x:c>
      <x:c r="J9" s="22" t="str">
        <x:v>退班不删除历史任务与提交</x:v>
      </x:c>
    </x:row>
    <x:row r="10" ht="42" customHeight="1">
      <x:c r="A10" s="22" t="str">
        <x:v>platform.contents</x:v>
      </x:c>
      <x:c r="B10" s="22" t="str">
        <x:v>读取</x:v>
      </x:c>
      <x:c r="C10" s="22" t="str">
        <x:v>允许</x:v>
      </x:c>
      <x:c r="D10" s="22" t="str">
        <x:v>允许</x:v>
      </x:c>
      <x:c r="E10" s="22" t="str">
        <x:v>允许</x:v>
      </x:c>
      <x:c r="F10" s="22" t="str">
        <x:v>允许</x:v>
      </x:c>
      <x:c r="G10" s="22" t="str">
        <x:v>允许</x:v>
      </x:c>
      <x:c r="H10" s="22" t="str">
        <x:v>允许</x:v>
      </x:c>
      <x:c r="I10" s="22" t="str">
        <x:v>否</x:v>
      </x:c>
      <x:c r="J10" s="22" t="str">
        <x:v>平台只读目录</x:v>
      </x:c>
    </x:row>
    <x:row r="11" ht="42" customHeight="1">
      <x:c r="A11" s="22" t="str">
        <x:v>platform.contents</x:v>
      </x:c>
      <x:c r="B11" s="22" t="str">
        <x:v>修改</x:v>
      </x:c>
      <x:c r="C11" s="22" t="str">
        <x:v>403</x:v>
      </x:c>
      <x:c r="D11" s="22" t="str">
        <x:v>403</x:v>
      </x:c>
      <x:c r="E11" s="22" t="str">
        <x:v>403</x:v>
      </x:c>
      <x:c r="F11" s="22" t="str">
        <x:v>403</x:v>
      </x:c>
      <x:c r="G11" s="22" t="str">
        <x:v>403/复制</x:v>
      </x:c>
      <x:c r="H11" s="22" t="str">
        <x:v>允许</x:v>
      </x:c>
      <x:c r="I11" s="22" t="str">
        <x:v>是</x:v>
      </x:c>
      <x:c r="J11" s="22" t="str">
        <x:v>租户修改必须 clone 为 tenant-owned 版本</x:v>
      </x:c>
    </x:row>
    <x:row r="12" ht="42" customHeight="1">
      <x:c r="A12" s="22" t="str">
        <x:v>Content</x:v>
      </x:c>
      <x:c r="B12" s="22" t="str">
        <x:v>读取</x:v>
      </x:c>
      <x:c r="C12" s="22" t="str">
        <x:v>已发布</x:v>
      </x:c>
      <x:c r="D12" s="22" t="str">
        <x:v>已发布</x:v>
      </x:c>
      <x:c r="E12" s="22" t="str">
        <x:v>允许</x:v>
      </x:c>
      <x:c r="F12" s="22" t="str">
        <x:v>404</x:v>
      </x:c>
      <x:c r="G12" s="22" t="str">
        <x:v>允许</x:v>
      </x:c>
      <x:c r="H12" s="22" t="str">
        <x:v>临时提权</x:v>
      </x:c>
      <x:c r="I12" s="22" t="str">
        <x:v>否</x:v>
      </x:c>
      <x:c r="J12" s="22" t="str">
        <x:v>草稿仅作者和管理员可见</x:v>
      </x:c>
    </x:row>
    <x:row r="13" ht="42" customHeight="1">
      <x:c r="A13" s="22" t="str">
        <x:v>Content</x:v>
      </x:c>
      <x:c r="B13" s="22" t="str">
        <x:v>发布新版本</x:v>
      </x:c>
      <x:c r="C13" s="22" t="str">
        <x:v>403</x:v>
      </x:c>
      <x:c r="D13" s="22" t="str">
        <x:v>403</x:v>
      </x:c>
      <x:c r="E13" s="22" t="str">
        <x:v>有权限教师</x:v>
      </x:c>
      <x:c r="F13" s="22" t="str">
        <x:v>404</x:v>
      </x:c>
      <x:c r="G13" s="22" t="str">
        <x:v>允许</x:v>
      </x:c>
      <x:c r="H13" s="22" t="str">
        <x:v>临时提权</x:v>
      </x:c>
      <x:c r="I13" s="22" t="str">
        <x:v>是</x:v>
      </x:c>
      <x:c r="J13" s="22" t="str">
        <x:v>已发布版本不可原地修改</x:v>
      </x:c>
    </x:row>
    <x:row r="14" ht="42" customHeight="1">
      <x:c r="A14" s="22" t="str">
        <x:v>LearningPath</x:v>
      </x:c>
      <x:c r="B14" s="22" t="str">
        <x:v>读取</x:v>
      </x:c>
      <x:c r="C14" s="22" t="str">
        <x:v>已加入</x:v>
      </x:c>
      <x:c r="D14" s="22" t="str">
        <x:v>404</x:v>
      </x:c>
      <x:c r="E14" s="22" t="str">
        <x:v>相关学生路径</x:v>
      </x:c>
      <x:c r="F14" s="22" t="str">
        <x:v>404</x:v>
      </x:c>
      <x:c r="G14" s="22" t="str">
        <x:v>允许</x:v>
      </x:c>
      <x:c r="H14" s="22" t="str">
        <x:v>临时提权</x:v>
      </x:c>
      <x:c r="I14" s="22" t="str">
        <x:v>否</x:v>
      </x:c>
      <x:c r="J14" s="22" t="str">
        <x:v>Enrollment 固定 path_version_id</x:v>
      </x:c>
    </x:row>
    <x:row r="15" ht="42" customHeight="1">
      <x:c r="A15" s="22" t="str">
        <x:v>TaskAssignment</x:v>
      </x:c>
      <x:c r="B15" s="22" t="str">
        <x:v>创建/发布</x:v>
      </x:c>
      <x:c r="C15" s="22" t="str">
        <x:v>403</x:v>
      </x:c>
      <x:c r="D15" s="22" t="str">
        <x:v>403</x:v>
      </x:c>
      <x:c r="E15" s="22" t="str">
        <x:v>允许</x:v>
      </x:c>
      <x:c r="F15" s="22" t="str">
        <x:v>404</x:v>
      </x:c>
      <x:c r="G15" s="22" t="str">
        <x:v>允许</x:v>
      </x:c>
      <x:c r="H15" s="22" t="str">
        <x:v>临时提权</x:v>
      </x:c>
      <x:c r="I15" s="22" t="str">
        <x:v>是</x:v>
      </x:c>
      <x:c r="J15" s="22" t="str">
        <x:v>需要 Idempotency-Key，目标表使用真实外键</x:v>
      </x:c>
    </x:row>
    <x:row r="16" ht="42" customHeight="1">
      <x:c r="A16" s="22" t="str">
        <x:v>StudentTaskItem</x:v>
      </x:c>
      <x:c r="B16" s="22" t="str">
        <x:v>列表/详情</x:v>
      </x:c>
      <x:c r="C16" s="22" t="str">
        <x:v>允许</x:v>
      </x:c>
      <x:c r="D16" s="22" t="str">
        <x:v>404</x:v>
      </x:c>
      <x:c r="E16" s="22" t="str">
        <x:v>关联学生</x:v>
      </x:c>
      <x:c r="F16" s="22" t="str">
        <x:v>404</x:v>
      </x:c>
      <x:c r="G16" s="22" t="str">
        <x:v>允许</x:v>
      </x:c>
      <x:c r="H16" s="22" t="str">
        <x:v>临时提权</x:v>
      </x:c>
      <x:c r="I16" s="22" t="str">
        <x:v>敏感访问</x:v>
      </x:c>
      <x:c r="J16" s="22" t="str">
        <x:v>同 slot_key 才参与冲突解析</x:v>
      </x:c>
    </x:row>
    <x:row r="17" ht="42" customHeight="1">
      <x:c r="A17" s="22" t="str">
        <x:v>StudentTaskItem</x:v>
      </x:c>
      <x:c r="B17" s="22" t="str">
        <x:v>隐藏/替换</x:v>
      </x:c>
      <x:c r="C17" s="22" t="str">
        <x:v>403</x:v>
      </x:c>
      <x:c r="D17" s="22" t="str">
        <x:v>403</x:v>
      </x:c>
      <x:c r="E17" s="22" t="str">
        <x:v>关联教师</x:v>
      </x:c>
      <x:c r="F17" s="22" t="str">
        <x:v>404</x:v>
      </x:c>
      <x:c r="G17" s="22" t="str">
        <x:v>允许</x:v>
      </x:c>
      <x:c r="H17" s="22" t="str">
        <x:v>临时提权</x:v>
      </x:c>
      <x:c r="I17" s="22" t="str">
        <x:v>是</x:v>
      </x:c>
      <x:c r="J17" s="22" t="str">
        <x:v>管理员强制任务不可被普通教师隐藏</x:v>
      </x:c>
    </x:row>
    <x:row r="18" ht="42" customHeight="1">
      <x:c r="A18" s="22" t="str">
        <x:v>TaskAttempt</x:v>
      </x:c>
      <x:c r="B18" s="22" t="str">
        <x:v>开始/自动保存</x:v>
      </x:c>
      <x:c r="C18" s="22" t="str">
        <x:v>允许</x:v>
      </x:c>
      <x:c r="D18" s="22" t="str">
        <x:v>404</x:v>
      </x:c>
      <x:c r="E18" s="22" t="str">
        <x:v>只读</x:v>
      </x:c>
      <x:c r="F18" s="22" t="str">
        <x:v>404</x:v>
      </x:c>
      <x:c r="G18" s="22" t="str">
        <x:v>只读</x:v>
      </x:c>
      <x:c r="H18" s="22" t="str">
        <x:v>临时提权</x:v>
      </x:c>
      <x:c r="I18" s="22" t="str">
        <x:v>提交时记录</x:v>
      </x:c>
      <x:c r="J18" s="22" t="str">
        <x:v>一个任务实例最多一个活动 attempt</x:v>
      </x:c>
    </x:row>
    <x:row r="19" ht="42" customHeight="1">
      <x:c r="A19" s="22" t="str">
        <x:v>SubmissionSnapshot</x:v>
      </x:c>
      <x:c r="B19" s="22" t="str">
        <x:v>读取</x:v>
      </x:c>
      <x:c r="C19" s="22" t="str">
        <x:v>允许</x:v>
      </x:c>
      <x:c r="D19" s="22" t="str">
        <x:v>404</x:v>
      </x:c>
      <x:c r="E19" s="22" t="str">
        <x:v>关联教师</x:v>
      </x:c>
      <x:c r="F19" s="22" t="str">
        <x:v>404</x:v>
      </x:c>
      <x:c r="G19" s="22" t="str">
        <x:v>允许</x:v>
      </x:c>
      <x:c r="H19" s="22" t="str">
        <x:v>临时提权</x:v>
      </x:c>
      <x:c r="I19" s="22" t="str">
        <x:v>敏感访问</x:v>
      </x:c>
      <x:c r="J19" s="22" t="str">
        <x:v>不可变，必须引用 attempt item snapshot</x:v>
      </x:c>
    </x:row>
    <x:row r="20" ht="42" customHeight="1">
      <x:c r="A20" s="22" t="str">
        <x:v>ScoreDecision</x:v>
      </x:c>
      <x:c r="B20" s="22" t="str">
        <x:v>自动评分</x:v>
      </x:c>
      <x:c r="C20" s="22" t="str">
        <x:v>只读</x:v>
      </x:c>
      <x:c r="D20" s="22" t="str">
        <x:v>404</x:v>
      </x:c>
      <x:c r="E20" s="22" t="str">
        <x:v>只读</x:v>
      </x:c>
      <x:c r="F20" s="22" t="str">
        <x:v>404</x:v>
      </x:c>
      <x:c r="G20" s="22" t="str">
        <x:v>只读</x:v>
      </x:c>
      <x:c r="H20" s="22" t="str">
        <x:v>临时提权</x:v>
      </x:c>
      <x:c r="I20" s="22" t="str">
        <x:v>是</x:v>
      </x:c>
      <x:c r="J20" s="22" t="str">
        <x:v>自动评分为追加记录</x:v>
      </x:c>
    </x:row>
    <x:row r="21" ht="42" customHeight="1">
      <x:c r="A21" s="22" t="str">
        <x:v>ScoreDecision</x:v>
      </x:c>
      <x:c r="B21" s="22" t="str">
        <x:v>教师确认</x:v>
      </x:c>
      <x:c r="C21" s="22" t="str">
        <x:v>只读</x:v>
      </x:c>
      <x:c r="D21" s="22" t="str">
        <x:v>404</x:v>
      </x:c>
      <x:c r="E21" s="22" t="str">
        <x:v>允许</x:v>
      </x:c>
      <x:c r="F21" s="22" t="str">
        <x:v>404</x:v>
      </x:c>
      <x:c r="G21" s="22" t="str">
        <x:v>允许</x:v>
      </x:c>
      <x:c r="H21" s="22" t="str">
        <x:v>临时提权</x:v>
      </x:c>
      <x:c r="I21" s="22" t="str">
        <x:v>是</x:v>
      </x:c>
      <x:c r="J21" s="22" t="str">
        <x:v>并发评分使用版本号</x:v>
      </x:c>
    </x:row>
    <x:row r="22" ht="42" customHeight="1">
      <x:c r="A22" s="22" t="str">
        <x:v>ScoreDecision</x:v>
      </x:c>
      <x:c r="B22" s="22" t="str">
        <x:v>管理员修正</x:v>
      </x:c>
      <x:c r="C22" s="22" t="str">
        <x:v>只读</x:v>
      </x:c>
      <x:c r="D22" s="22" t="str">
        <x:v>404</x:v>
      </x:c>
      <x:c r="E22" s="22" t="str">
        <x:v>403</x:v>
      </x:c>
      <x:c r="F22" s="22" t="str">
        <x:v>404</x:v>
      </x:c>
      <x:c r="G22" s="22" t="str">
        <x:v>允许</x:v>
      </x:c>
      <x:c r="H22" s="22" t="str">
        <x:v>临时提权</x:v>
      </x:c>
      <x:c r="I22" s="22" t="str">
        <x:v>强制</x:v>
      </x:c>
      <x:c r="J22" s="22" t="str">
        <x:v>必须填写原因；优先级高于教师确认</x:v>
      </x:c>
    </x:row>
    <x:row r="23" ht="42" customHeight="1">
      <x:c r="A23" s="22" t="str">
        <x:v>FileObject</x:v>
      </x:c>
      <x:c r="B23" s="22" t="str">
        <x:v>下载</x:v>
      </x:c>
      <x:c r="C23" s="22" t="str">
        <x:v>自己的文件</x:v>
      </x:c>
      <x:c r="D23" s="22" t="str">
        <x:v>404</x:v>
      </x:c>
      <x:c r="E23" s="22" t="str">
        <x:v>关联学生</x:v>
      </x:c>
      <x:c r="F23" s="22" t="str">
        <x:v>404</x:v>
      </x:c>
      <x:c r="G23" s="22" t="str">
        <x:v>允许</x:v>
      </x:c>
      <x:c r="H23" s="22" t="str">
        <x:v>临时提权</x:v>
      </x:c>
      <x:c r="I23" s="22" t="str">
        <x:v>敏感访问</x:v>
      </x:c>
      <x:c r="J23" s="22" t="str">
        <x:v>短期签名 URL，tenant 前缀与扫描状态校验</x:v>
      </x:c>
    </x:row>
    <x:row r="24" ht="42" customHeight="1">
      <x:c r="A24" s="23" t="str">
        <x:v>AuditLog</x:v>
      </x:c>
      <x:c r="B24" s="23" t="str">
        <x:v>读取</x:v>
      </x:c>
      <x:c r="C24" s="23" t="str">
        <x:v>403</x:v>
      </x:c>
      <x:c r="D24" s="23" t="str">
        <x:v>403</x:v>
      </x:c>
      <x:c r="E24" s="23" t="str">
        <x:v>403</x:v>
      </x:c>
      <x:c r="F24" s="23" t="str">
        <x:v>403</x:v>
      </x:c>
      <x:c r="G24" s="23" t="str">
        <x:v>允许</x:v>
      </x:c>
      <x:c r="H24" s="23" t="str">
        <x:v>允许</x:v>
      </x:c>
      <x:c r="I24" s="23" t="str">
        <x:v>读取也审计</x:v>
      </x:c>
      <x:c r="J24" s="23" t="str">
        <x:v>日志不可包含完整答案、Token 或未脱敏 PII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b82e883c49043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18" hidden="0" customWidth="1"/>
    <x:col min="5" max="5" width="17" hidden="0" customWidth="1"/>
    <x:col min="6" max="6" width="28" hidden="0" customWidth="1"/>
    <x:col min="7" max="7" width="34" hidden="0" customWidth="1"/>
    <x:col min="8" max="8" width="28" hidden="0" customWidth="1"/>
    <x:col min="9" max="9" width="34" hidden="0" customWidth="1"/>
    <x:col min="10" max="10" width="10" hidden="0" customWidth="1"/>
    <x:col min="11" max="11" width="14" hidden="0" customWidth="1"/>
    <x:col min="12" max="12" width="12" hidden="0" customWidth="1"/>
    <x:col min="13" max="13" width="12" hidden="0" customWidth="1"/>
    <x:col min="14" max="14" width="24" hidden="0" customWidth="1"/>
  </x:cols>
  <x:sheetData>
    <x:row r="1" ht="32" customHeight="1">
      <x:c r="A1" s="3" t="str">
        <x:v>功能、安全与端到端测试用例</x:v>
      </x:c>
      <x:c r="B1" s="3" t="str">
        <x:v>功能、安全与端到端测试用例</x:v>
      </x:c>
      <x:c r="C1" s="3" t="str">
        <x:v>功能、安全与端到端测试用例</x:v>
      </x:c>
      <x:c r="D1" s="3" t="str">
        <x:v>功能、安全与端到端测试用例</x:v>
      </x:c>
      <x:c r="E1" s="3" t="str">
        <x:v>功能、安全与端到端测试用例</x:v>
      </x:c>
      <x:c r="F1" s="3" t="str">
        <x:v>功能、安全与端到端测试用例</x:v>
      </x:c>
      <x:c r="G1" s="3" t="str">
        <x:v>功能、安全与端到端测试用例</x:v>
      </x:c>
      <x:c r="H1" s="3" t="str">
        <x:v>功能、安全与端到端测试用例</x:v>
      </x:c>
      <x:c r="I1" s="3" t="str">
        <x:v>功能、安全与端到端测试用例</x:v>
      </x:c>
      <x:c r="J1" s="3" t="str">
        <x:v>功能、安全与端到端测试用例</x:v>
      </x:c>
      <x:c r="K1" s="3" t="str">
        <x:v>功能、安全与端到端测试用例</x:v>
      </x:c>
      <x:c r="L1" s="3" t="str">
        <x:v>功能、安全与端到端测试用例</x:v>
      </x:c>
      <x:c r="M1" s="3" t="str">
        <x:v>功能、安全与端到端测试用例</x:v>
      </x:c>
      <x:c r="N1" s="3" t="str">
        <x:v>功能、安全与端到端测试用例</x:v>
      </x:c>
    </x:row>
    <x:row r="2" ht="28" customHeight="1">
      <x:c r="A2" s="7" t="str">
        <x:v>覆盖 V1.1 核心闭环；用例 ID 为跨文档引用键。</x:v>
      </x:c>
      <x:c r="B2" s="7" t="str">
        <x:v>覆盖 V1.1 核心闭环；用例 ID 为跨文档引用键。</x:v>
      </x:c>
      <x:c r="C2" s="7" t="str">
        <x:v>覆盖 V1.1 核心闭环；用例 ID 为跨文档引用键。</x:v>
      </x:c>
      <x:c r="D2" s="7" t="str">
        <x:v>覆盖 V1.1 核心闭环；用例 ID 为跨文档引用键。</x:v>
      </x:c>
      <x:c r="E2" s="7" t="str">
        <x:v>覆盖 V1.1 核心闭环；用例 ID 为跨文档引用键。</x:v>
      </x:c>
      <x:c r="F2" s="7" t="str">
        <x:v>覆盖 V1.1 核心闭环；用例 ID 为跨文档引用键。</x:v>
      </x:c>
      <x:c r="G2" s="7" t="str">
        <x:v>覆盖 V1.1 核心闭环；用例 ID 为跨文档引用键。</x:v>
      </x:c>
      <x:c r="H2" s="7" t="str">
        <x:v>覆盖 V1.1 核心闭环；用例 ID 为跨文档引用键。</x:v>
      </x:c>
      <x:c r="I2" s="7" t="str">
        <x:v>覆盖 V1.1 核心闭环；用例 ID 为跨文档引用键。</x:v>
      </x:c>
      <x:c r="J2" s="7" t="str">
        <x:v>覆盖 V1.1 核心闭环；用例 ID 为跨文档引用键。</x:v>
      </x:c>
      <x:c r="K2" s="7" t="str">
        <x:v>覆盖 V1.1 核心闭环；用例 ID 为跨文档引用键。</x:v>
      </x:c>
      <x:c r="L2" s="7" t="str">
        <x:v>覆盖 V1.1 核心闭环；用例 ID 为跨文档引用键。</x:v>
      </x:c>
      <x:c r="M2" s="7" t="str">
        <x:v>覆盖 V1.1 核心闭环；用例 ID 为跨文档引用键。</x:v>
      </x:c>
      <x:c r="N2" s="7" t="str">
        <x:v>覆盖 V1.1 核心闭环；用例 ID 为跨文档引用键。</x:v>
      </x:c>
    </x:row>
    <x:row r="4" ht="32" customHeight="1">
      <x:c r="A4" s="13" t="str">
        <x:v>ID</x:v>
      </x:c>
      <x:c r="B4" s="13" t="str">
        <x:v>Domain</x:v>
      </x:c>
      <x:c r="C4" s="13" t="str">
        <x:v>Scenario</x:v>
      </x:c>
      <x:c r="D4" s="13" t="str">
        <x:v>Actor</x:v>
      </x:c>
      <x:c r="E4" s="13" t="str">
        <x:v>Tenant Context</x:v>
      </x:c>
      <x:c r="F4" s="13" t="str">
        <x:v>Preconditions</x:v>
      </x:c>
      <x:c r="G4" s="13" t="str">
        <x:v>Steps</x:v>
      </x:c>
      <x:c r="H4" s="13" t="str">
        <x:v>Expected API/DB</x:v>
      </x:c>
      <x:c r="I4" s="13" t="str">
        <x:v>Expected Result</x:v>
      </x:c>
      <x:c r="J4" s="13" t="str">
        <x:v>Priority</x:v>
      </x:c>
      <x:c r="K4" s="13" t="str">
        <x:v>Layer</x:v>
      </x:c>
      <x:c r="L4" s="13" t="str">
        <x:v>Automation</x:v>
      </x:c>
      <x:c r="M4" s="13" t="str">
        <x:v>Status</x:v>
      </x:c>
      <x:c r="N4" s="13" t="str">
        <x:v>Evidence / Owner</x:v>
      </x:c>
    </x:row>
    <x:row r="5" ht="58" customHeight="1">
      <x:c r="A5" s="21" t="str">
        <x:v>TC-001</x:v>
      </x:c>
      <x:c r="B5" s="21" t="str">
        <x:v>Identity</x:v>
      </x:c>
      <x:c r="C5" s="21" t="str">
        <x:v>注册全局账号</x:v>
      </x:c>
      <x:c r="D5" s="21" t="str">
        <x:v>访客</x:v>
      </x:c>
      <x:c r="E5" s="21" t="str">
        <x:v>全局</x:v>
      </x:c>
      <x:c r="F5" s="21" t="str">
        <x:v>邮箱未注册</x:v>
      </x:c>
      <x:c r="G5" s="21" t="str">
        <x:v>注册并验证邮箱</x:v>
      </x:c>
      <x:c r="H5" s="21" t="str">
        <x:v>201；创建 users</x:v>
      </x:c>
      <x:c r="I5" s="21" t="str">
        <x:v>邮箱全局唯一，验证后可登录</x:v>
      </x:c>
      <x:c r="J5" s="21" t="str">
        <x:v>P0</x:v>
      </x:c>
      <x:c r="K5" s="21" t="str">
        <x:v>E2E</x:v>
      </x:c>
      <x:c r="L5" s="21" t="str">
        <x:v>是</x:v>
      </x:c>
      <x:c r="M5" s="21" t="str">
        <x:v>未执行</x:v>
      </x:c>
      <x:c r="N5" s="21" t="str"/>
    </x:row>
    <x:row r="6" ht="58" customHeight="1">
      <x:c r="A6" s="22" t="str">
        <x:v>TC-002</x:v>
      </x:c>
      <x:c r="B6" s="22" t="str">
        <x:v>Identity</x:v>
      </x:c>
      <x:c r="C6" s="22" t="str">
        <x:v>验证码过期与重放</x:v>
      </x:c>
      <x:c r="D6" s="22" t="str">
        <x:v>访客</x:v>
      </x:c>
      <x:c r="E6" s="22" t="str">
        <x:v>全局</x:v>
      </x:c>
      <x:c r="F6" s="22" t="str">
        <x:v>已发送验证码</x:v>
      </x:c>
      <x:c r="G6" s="22" t="str">
        <x:v>使用过期码并重复使用有效码</x:v>
      </x:c>
      <x:c r="H6" s="22" t="str">
        <x:v>400/409</x:v>
      </x:c>
      <x:c r="I6" s="22" t="str">
        <x:v>过期或已消费验证码均拒绝</x:v>
      </x:c>
      <x:c r="J6" s="22" t="str">
        <x:v>P1</x:v>
      </x:c>
      <x:c r="K6" s="22" t="str">
        <x:v>Security</x:v>
      </x:c>
      <x:c r="L6" s="22" t="str">
        <x:v>是</x:v>
      </x:c>
      <x:c r="M6" s="22" t="str">
        <x:v>未执行</x:v>
      </x:c>
      <x:c r="N6" s="22" t="str"/>
    </x:row>
    <x:row r="7" ht="58" customHeight="1">
      <x:c r="A7" s="22" t="str">
        <x:v>TC-003</x:v>
      </x:c>
      <x:c r="B7" s="22" t="str">
        <x:v>Tenant</x:v>
      </x:c>
      <x:c r="C7" s="22" t="str">
        <x:v>同一用户加入两个机构</x:v>
      </x:c>
      <x:c r="D7" s="22" t="str">
        <x:v>用户</x:v>
      </x:c>
      <x:c r="E7" s="22" t="str">
        <x:v>tenant_a/tenant_b</x:v>
      </x:c>
      <x:c r="F7" s="22" t="str">
        <x:v>两个有效邀请</x:v>
      </x:c>
      <x:c r="G7" s="22" t="str">
        <x:v>依次接受邀请</x:v>
      </x:c>
      <x:c r="H7" s="22" t="str">
        <x:v>201 memberships</x:v>
      </x:c>
      <x:c r="I7" s="22" t="str">
        <x:v>一个 user 对应两个 tenant_memberships</x:v>
      </x:c>
      <x:c r="J7" s="22" t="str">
        <x:v>P0</x:v>
      </x:c>
      <x:c r="K7" s="22" t="str">
        <x:v>E2E</x:v>
      </x:c>
      <x:c r="L7" s="22" t="str">
        <x:v>是</x:v>
      </x:c>
      <x:c r="M7" s="22" t="str">
        <x:v>未执行</x:v>
      </x:c>
      <x:c r="N7" s="22" t="str"/>
    </x:row>
    <x:row r="8" ht="58" customHeight="1">
      <x:c r="A8" s="22" t="str">
        <x:v>TC-004</x:v>
      </x:c>
      <x:c r="B8" s="22" t="str">
        <x:v>Tenant</x:v>
      </x:c>
      <x:c r="C8" s="22" t="str">
        <x:v>切换当前机构</x:v>
      </x:c>
      <x:c r="D8" s="22" t="str">
        <x:v>教师</x:v>
      </x:c>
      <x:c r="E8" s="22" t="str">
        <x:v>tenant_a→tenant_b</x:v>
      </x:c>
      <x:c r="F8" s="22" t="str">
        <x:v>双机构成员</x:v>
      </x:c>
      <x:c r="G8" s="22" t="str">
        <x:v>请求两个 tenant 路径</x:v>
      </x:c>
      <x:c r="H8" s="22" t="str">
        <x:v>200/200</x:v>
      </x:c>
      <x:c r="I8" s="22" t="str">
        <x:v>每次事务仅设置当前 tenant 上下文</x:v>
      </x:c>
      <x:c r="J8" s="22" t="str">
        <x:v>P0</x:v>
      </x:c>
      <x:c r="K8" s="22" t="str">
        <x:v>Integration</x:v>
      </x:c>
      <x:c r="L8" s="22" t="str">
        <x:v>是</x:v>
      </x:c>
      <x:c r="M8" s="22" t="str">
        <x:v>未执行</x:v>
      </x:c>
      <x:c r="N8" s="22" t="str"/>
    </x:row>
    <x:row r="9" ht="58" customHeight="1">
      <x:c r="A9" s="22" t="str">
        <x:v>TC-005</x:v>
      </x:c>
      <x:c r="B9" s="22" t="str">
        <x:v>Tenant</x:v>
      </x:c>
      <x:c r="C9" s="22" t="str">
        <x:v>暂停成员资格</x:v>
      </x:c>
      <x:c r="D9" s="22" t="str">
        <x:v>租户管理员</x:v>
      </x:c>
      <x:c r="E9" s="22" t="str">
        <x:v>tenant_a</x:v>
      </x:c>
      <x:c r="F9" s="22" t="str">
        <x:v>成员 active</x:v>
      </x:c>
      <x:c r="G9" s="22" t="str">
        <x:v>改为 suspended 后访问</x:v>
      </x:c>
      <x:c r="H9" s="22" t="str">
        <x:v>403</x:v>
      </x:c>
      <x:c r="I9" s="22" t="str">
        <x:v>会话存在但租户资源不可访问</x:v>
      </x:c>
      <x:c r="J9" s="22" t="str">
        <x:v>P0</x:v>
      </x:c>
      <x:c r="K9" s="22" t="str">
        <x:v>Security</x:v>
      </x:c>
      <x:c r="L9" s="22" t="str">
        <x:v>是</x:v>
      </x:c>
      <x:c r="M9" s="22" t="str">
        <x:v>未执行</x:v>
      </x:c>
      <x:c r="N9" s="22" t="str"/>
    </x:row>
    <x:row r="10" ht="58" customHeight="1">
      <x:c r="A10" s="22" t="str">
        <x:v>TC-006</x:v>
      </x:c>
      <x:c r="B10" s="22" t="str">
        <x:v>Authorization</x:v>
      </x:c>
      <x:c r="C10" s="22" t="str">
        <x:v>超级管理员临时提权</x:v>
      </x:c>
      <x:c r="D10" s="22" t="str">
        <x:v>超级管理员</x:v>
      </x:c>
      <x:c r="E10" s="22" t="str">
        <x:v>tenant_a</x:v>
      </x:c>
      <x:c r="F10" s="22" t="str">
        <x:v>批准工单存在</x:v>
      </x:c>
      <x:c r="G10" s="22" t="str">
        <x:v>申请并访问学生数据</x:v>
      </x:c>
      <x:c r="H10" s="22" t="str">
        <x:v>200 + audit_log</x:v>
      </x:c>
      <x:c r="I10" s="22" t="str">
        <x:v>普通控制面会话不能直接读取租户学生数据</x:v>
      </x:c>
      <x:c r="J10" s="22" t="str">
        <x:v>P0</x:v>
      </x:c>
      <x:c r="K10" s="22" t="str">
        <x:v>Security</x:v>
      </x:c>
      <x:c r="L10" s="22" t="str">
        <x:v>部分</x:v>
      </x:c>
      <x:c r="M10" s="22" t="str">
        <x:v>未执行</x:v>
      </x:c>
      <x:c r="N10" s="22" t="str"/>
    </x:row>
    <x:row r="11" ht="58" customHeight="1">
      <x:c r="A11" s="22" t="str">
        <x:v>TC-007</x:v>
      </x:c>
      <x:c r="B11" s="22" t="str">
        <x:v>Tenant</x:v>
      </x:c>
      <x:c r="C11" s="22" t="str">
        <x:v>邀请重复接受</x:v>
      </x:c>
      <x:c r="D11" s="22" t="str">
        <x:v>用户</x:v>
      </x:c>
      <x:c r="E11" s="22" t="str">
        <x:v>tenant_a</x:v>
      </x:c>
      <x:c r="F11" s="22" t="str">
        <x:v>邀请已接受</x:v>
      </x:c>
      <x:c r="G11" s="22" t="str">
        <x:v>再次提交相同 token</x:v>
      </x:c>
      <x:c r="H11" s="22" t="str">
        <x:v>200/409</x:v>
      </x:c>
      <x:c r="I11" s="22" t="str">
        <x:v>不创建重复 membership</x:v>
      </x:c>
      <x:c r="J11" s="22" t="str">
        <x:v>P1</x:v>
      </x:c>
      <x:c r="K11" s="22" t="str">
        <x:v>Integration</x:v>
      </x:c>
      <x:c r="L11" s="22" t="str">
        <x:v>是</x:v>
      </x:c>
      <x:c r="M11" s="22" t="str">
        <x:v>未执行</x:v>
      </x:c>
      <x:c r="N11" s="22" t="str"/>
    </x:row>
    <x:row r="12" ht="58" customHeight="1">
      <x:c r="A12" s="22" t="str">
        <x:v>TC-008</x:v>
      </x:c>
      <x:c r="B12" s="22" t="str">
        <x:v>Session</x:v>
      </x:c>
      <x:c r="C12" s="22" t="str">
        <x:v>Refresh 轮换与复用检测</x:v>
      </x:c>
      <x:c r="D12" s="22" t="str">
        <x:v>用户</x:v>
      </x:c>
      <x:c r="E12" s="22" t="str">
        <x:v>全局</x:v>
      </x:c>
      <x:c r="F12" s="22" t="str">
        <x:v>已登录</x:v>
      </x:c>
      <x:c r="G12" s="22" t="str">
        <x:v>刷新后复用旧 refresh token</x:v>
      </x:c>
      <x:c r="H12" s="22" t="str">
        <x:v>401；撤销 token family</x:v>
      </x:c>
      <x:c r="I12" s="22" t="str">
        <x:v>检测复用并终止相关会话</x:v>
      </x:c>
      <x:c r="J12" s="22" t="str">
        <x:v>P0</x:v>
      </x:c>
      <x:c r="K12" s="22" t="str">
        <x:v>Security</x:v>
      </x:c>
      <x:c r="L12" s="22" t="str">
        <x:v>是</x:v>
      </x:c>
      <x:c r="M12" s="22" t="str">
        <x:v>未执行</x:v>
      </x:c>
      <x:c r="N12" s="22" t="str"/>
    </x:row>
    <x:row r="13" ht="58" customHeight="1">
      <x:c r="A13" s="22" t="str">
        <x:v>TC-009</x:v>
      </x:c>
      <x:c r="B13" s="22" t="str">
        <x:v>Session</x:v>
      </x:c>
      <x:c r="C13" s="22" t="str">
        <x:v>CSRF 缺失</x:v>
      </x:c>
      <x:c r="D13" s="22" t="str">
        <x:v>用户</x:v>
      </x:c>
      <x:c r="E13" s="22" t="str">
        <x:v>tenant_a</x:v>
      </x:c>
      <x:c r="F13" s="22" t="str">
        <x:v>Cookie 有效</x:v>
      </x:c>
      <x:c r="G13" s="22" t="str">
        <x:v>无 CSRF header 发起写请求</x:v>
      </x:c>
      <x:c r="H13" s="22" t="str">
        <x:v>403 ProblemDetails</x:v>
      </x:c>
      <x:c r="I13" s="22" t="str">
        <x:v>不产生数据库变更</x:v>
      </x:c>
      <x:c r="J13" s="22" t="str">
        <x:v>P0</x:v>
      </x:c>
      <x:c r="K13" s="22" t="str">
        <x:v>Security</x:v>
      </x:c>
      <x:c r="L13" s="22" t="str">
        <x:v>是</x:v>
      </x:c>
      <x:c r="M13" s="22" t="str">
        <x:v>未执行</x:v>
      </x:c>
      <x:c r="N13" s="22" t="str"/>
    </x:row>
    <x:row r="14" ht="58" customHeight="1">
      <x:c r="A14" s="22" t="str">
        <x:v>TC-010</x:v>
      </x:c>
      <x:c r="B14" s="22" t="str">
        <x:v>Session</x:v>
      </x:c>
      <x:c r="C14" s="22" t="str">
        <x:v>登出撤销会话</x:v>
      </x:c>
      <x:c r="D14" s="22" t="str">
        <x:v>用户</x:v>
      </x:c>
      <x:c r="E14" s="22" t="str">
        <x:v>全局</x:v>
      </x:c>
      <x:c r="F14" s="22" t="str">
        <x:v>已登录</x:v>
      </x:c>
      <x:c r="G14" s="22" t="str">
        <x:v>登出后刷新</x:v>
      </x:c>
      <x:c r="H14" s="22" t="str">
        <x:v>204 后 401</x:v>
      </x:c>
      <x:c r="I14" s="22" t="str">
        <x:v>refresh token hash 标记 revoked</x:v>
      </x:c>
      <x:c r="J14" s="22" t="str">
        <x:v>P1</x:v>
      </x:c>
      <x:c r="K14" s="22" t="str">
        <x:v>E2E</x:v>
      </x:c>
      <x:c r="L14" s="22" t="str">
        <x:v>是</x:v>
      </x:c>
      <x:c r="M14" s="22" t="str">
        <x:v>未执行</x:v>
      </x:c>
      <x:c r="N14" s="22" t="str"/>
    </x:row>
    <x:row r="15" ht="58" customHeight="1">
      <x:c r="A15" s="22" t="str">
        <x:v>TC-011</x:v>
      </x:c>
      <x:c r="B15" s="22" t="str">
        <x:v>Catalog</x:v>
      </x:c>
      <x:c r="C15" s="22" t="str">
        <x:v>读取平台官方内容</x:v>
      </x:c>
      <x:c r="D15" s="22" t="str">
        <x:v>教师</x:v>
      </x:c>
      <x:c r="E15" s="22" t="str">
        <x:v>tenant_a</x:v>
      </x:c>
      <x:c r="F15" s="22" t="str">
        <x:v>platform 内容已发布</x:v>
      </x:c>
      <x:c r="G15" s="22" t="str">
        <x:v>查询目录</x:v>
      </x:c>
      <x:c r="H15" s="22" t="str">
        <x:v>200 ownership=platform</x:v>
      </x:c>
      <x:c r="I15" s="22" t="str">
        <x:v>租户只读可见</x:v>
      </x:c>
      <x:c r="J15" s="22" t="str">
        <x:v>P0</x:v>
      </x:c>
      <x:c r="K15" s="22" t="str">
        <x:v>Integration</x:v>
      </x:c>
      <x:c r="L15" s="22" t="str">
        <x:v>是</x:v>
      </x:c>
      <x:c r="M15" s="22" t="str">
        <x:v>未执行</x:v>
      </x:c>
      <x:c r="N15" s="22" t="str"/>
    </x:row>
    <x:row r="16" ht="58" customHeight="1">
      <x:c r="A16" s="22" t="str">
        <x:v>TC-012</x:v>
      </x:c>
      <x:c r="B16" s="22" t="str">
        <x:v>Catalog</x:v>
      </x:c>
      <x:c r="C16" s="22" t="str">
        <x:v>复制官方内容到机构</x:v>
      </x:c>
      <x:c r="D16" s="22" t="str">
        <x:v>租户管理员</x:v>
      </x:c>
      <x:c r="E16" s="22" t="str">
        <x:v>tenant_a</x:v>
      </x:c>
      <x:c r="F16" s="22" t="str">
        <x:v>平台内容存在</x:v>
      </x:c>
      <x:c r="G16" s="22" t="str">
        <x:v>执行 clone</x:v>
      </x:c>
      <x:c r="H16" s="22" t="str">
        <x:v>201 ownership=tenant</x:v>
      </x:c>
      <x:c r="I16" s="22" t="str">
        <x:v>生成 tenant-owned 稳定实体和草稿版本</x:v>
      </x:c>
      <x:c r="J16" s="22" t="str">
        <x:v>P0</x:v>
      </x:c>
      <x:c r="K16" s="22" t="str">
        <x:v>E2E</x:v>
      </x:c>
      <x:c r="L16" s="22" t="str">
        <x:v>是</x:v>
      </x:c>
      <x:c r="M16" s="22" t="str">
        <x:v>未执行</x:v>
      </x:c>
      <x:c r="N16" s="22" t="str"/>
    </x:row>
    <x:row r="17" ht="58" customHeight="1">
      <x:c r="A17" s="22" t="str">
        <x:v>TC-013</x:v>
      </x:c>
      <x:c r="B17" s="22" t="str">
        <x:v>Versioning</x:v>
      </x:c>
      <x:c r="C17" s="22" t="str">
        <x:v>发布版本不可变</x:v>
      </x:c>
      <x:c r="D17" s="22" t="str">
        <x:v>内容管理员</x:v>
      </x:c>
      <x:c r="E17" s="22" t="str">
        <x:v>tenant_a</x:v>
      </x:c>
      <x:c r="F17" s="22" t="str">
        <x:v>content_version 已发布</x:v>
      </x:c>
      <x:c r="G17" s="22" t="str">
        <x:v>尝试 PATCH 已发布版本</x:v>
      </x:c>
      <x:c r="H17" s="22" t="str">
        <x:v>409</x:v>
      </x:c>
      <x:c r="I17" s="22" t="str">
        <x:v>必须创建下一版本</x:v>
      </x:c>
      <x:c r="J17" s="22" t="str">
        <x:v>P0</x:v>
      </x:c>
      <x:c r="K17" s="22" t="str">
        <x:v>Integration</x:v>
      </x:c>
      <x:c r="L17" s="22" t="str">
        <x:v>是</x:v>
      </x:c>
      <x:c r="M17" s="22" t="str">
        <x:v>未执行</x:v>
      </x:c>
      <x:c r="N17" s="22" t="str"/>
    </x:row>
    <x:row r="18" ht="58" customHeight="1">
      <x:c r="A18" s="22" t="str">
        <x:v>TC-014</x:v>
      </x:c>
      <x:c r="B18" s="22" t="str">
        <x:v>Versioning</x:v>
      </x:c>
      <x:c r="C18" s="22" t="str">
        <x:v>题目新版本不覆盖历史</x:v>
      </x:c>
      <x:c r="D18" s="22" t="str">
        <x:v>内容管理员</x:v>
      </x:c>
      <x:c r="E18" s="22" t="str">
        <x:v>tenant_a</x:v>
      </x:c>
      <x:c r="F18" s="22" t="str">
        <x:v>已有历史 attempt</x:v>
      </x:c>
      <x:c r="G18" s="22" t="str">
        <x:v>创建 question_version 2</x:v>
      </x:c>
      <x:c r="H18" s="22" t="str">
        <x:v>201</x:v>
      </x:c>
      <x:c r="I18" s="22" t="str">
        <x:v>旧 attempt 仍引用 version 1</x:v>
      </x:c>
      <x:c r="J18" s="22" t="str">
        <x:v>P0</x:v>
      </x:c>
      <x:c r="K18" s="22" t="str">
        <x:v>Integration</x:v>
      </x:c>
      <x:c r="L18" s="22" t="str">
        <x:v>是</x:v>
      </x:c>
      <x:c r="M18" s="22" t="str">
        <x:v>未执行</x:v>
      </x:c>
      <x:c r="N18" s="22" t="str"/>
    </x:row>
    <x:row r="19" ht="58" customHeight="1">
      <x:c r="A19" s="22" t="str">
        <x:v>TC-015</x:v>
      </x:c>
      <x:c r="B19" s="22" t="str">
        <x:v>Versioning</x:v>
      </x:c>
      <x:c r="C19" s="22" t="str">
        <x:v>任务发布后编辑</x:v>
      </x:c>
      <x:c r="D19" s="22" t="str">
        <x:v>教师</x:v>
      </x:c>
      <x:c r="E19" s="22" t="str">
        <x:v>tenant_a</x:v>
      </x:c>
      <x:c r="F19" s="22" t="str">
        <x:v>task_version 1 已发布</x:v>
      </x:c>
      <x:c r="G19" s="22" t="str">
        <x:v>修改评分规则</x:v>
      </x:c>
      <x:c r="H19" s="22" t="str">
        <x:v>201 version 2</x:v>
      </x:c>
      <x:c r="I19" s="22" t="str">
        <x:v>现有 assignment 仍绑定 version 1</x:v>
      </x:c>
      <x:c r="J19" s="22" t="str">
        <x:v>P0</x:v>
      </x:c>
      <x:c r="K19" s="22" t="str">
        <x:v>Integration</x:v>
      </x:c>
      <x:c r="L19" s="22" t="str">
        <x:v>是</x:v>
      </x:c>
      <x:c r="M19" s="22" t="str">
        <x:v>未执行</x:v>
      </x:c>
      <x:c r="N19" s="22" t="str"/>
    </x:row>
    <x:row r="20" ht="58" customHeight="1">
      <x:c r="A20" s="22" t="str">
        <x:v>TC-016</x:v>
      </x:c>
      <x:c r="B20" s="22" t="str">
        <x:v>LearningPath</x:v>
      </x:c>
      <x:c r="C20" s="22" t="str">
        <x:v>学生路径版本固定</x:v>
      </x:c>
      <x:c r="D20" s="22" t="str">
        <x:v>学生</x:v>
      </x:c>
      <x:c r="E20" s="22" t="str">
        <x:v>tenant_a</x:v>
      </x:c>
      <x:c r="F20" s="22" t="str">
        <x:v>已加入 path v1</x:v>
      </x:c>
      <x:c r="G20" s="22" t="str">
        <x:v>发布 path v2</x:v>
      </x:c>
      <x:c r="H20" s="22" t="str">
        <x:v>200</x:v>
      </x:c>
      <x:c r="I20" s="22" t="str">
        <x:v>Enrollment 不静默升级</x:v>
      </x:c>
      <x:c r="J20" s="22" t="str">
        <x:v>P0</x:v>
      </x:c>
      <x:c r="K20" s="22" t="str">
        <x:v>Integration</x:v>
      </x:c>
      <x:c r="L20" s="22" t="str">
        <x:v>是</x:v>
      </x:c>
      <x:c r="M20" s="22" t="str">
        <x:v>未执行</x:v>
      </x:c>
      <x:c r="N20" s="22" t="str"/>
    </x:row>
    <x:row r="21" ht="58" customHeight="1">
      <x:c r="A21" s="22" t="str">
        <x:v>TC-017</x:v>
      </x:c>
      <x:c r="B21" s="22" t="str">
        <x:v>Catalog</x:v>
      </x:c>
      <x:c r="C21" s="22" t="str">
        <x:v>跨租户引用机构内容</x:v>
      </x:c>
      <x:c r="D21" s="22" t="str">
        <x:v>教师</x:v>
      </x:c>
      <x:c r="E21" s="22" t="str">
        <x:v>tenant_b</x:v>
      </x:c>
      <x:c r="F21" s="22" t="str">
        <x:v>tenant_a 内容存在</x:v>
      </x:c>
      <x:c r="G21" s="22" t="str">
        <x:v>使用其 content_version 创建任务</x:v>
      </x:c>
      <x:c r="H21" s="22" t="str">
        <x:v>404/DB FK fail</x:v>
      </x:c>
      <x:c r="I21" s="22" t="str">
        <x:v>应用和复合外键双重拒绝</x:v>
      </x:c>
      <x:c r="J21" s="22" t="str">
        <x:v>P0</x:v>
      </x:c>
      <x:c r="K21" s="22" t="str">
        <x:v>Security</x:v>
      </x:c>
      <x:c r="L21" s="22" t="str">
        <x:v>是</x:v>
      </x:c>
      <x:c r="M21" s="22" t="str">
        <x:v>未执行</x:v>
      </x:c>
      <x:c r="N21" s="22" t="str"/>
    </x:row>
    <x:row r="22" ht="58" customHeight="1">
      <x:c r="A22" s="22" t="str">
        <x:v>TC-018</x:v>
      </x:c>
      <x:c r="B22" s="22" t="str">
        <x:v>Catalog</x:v>
      </x:c>
      <x:c r="C22" s="22" t="str">
        <x:v>批量导入幂等</x:v>
      </x:c>
      <x:c r="D22" s="22" t="str">
        <x:v>内容管理员</x:v>
      </x:c>
      <x:c r="E22" s="22" t="str">
        <x:v>tenant_a</x:v>
      </x:c>
      <x:c r="F22" s="22" t="str">
        <x:v>导入文件有效</x:v>
      </x:c>
      <x:c r="G22" s="22" t="str">
        <x:v>相同 import key 执行两次</x:v>
      </x:c>
      <x:c r="H22" s="22" t="str">
        <x:v>同一响应</x:v>
      </x:c>
      <x:c r="I22" s="22" t="str">
        <x:v>不生成重复题目版本</x:v>
      </x:c>
      <x:c r="J22" s="22" t="str">
        <x:v>P1</x:v>
      </x:c>
      <x:c r="K22" s="22" t="str">
        <x:v>Integration</x:v>
      </x:c>
      <x:c r="L22" s="22" t="str">
        <x:v>是</x:v>
      </x:c>
      <x:c r="M22" s="22" t="str">
        <x:v>未执行</x:v>
      </x:c>
      <x:c r="N22" s="22" t="str"/>
    </x:row>
    <x:row r="23" ht="58" customHeight="1">
      <x:c r="A23" s="22" t="str">
        <x:v>TC-019</x:v>
      </x:c>
      <x:c r="B23" s="22" t="str">
        <x:v>TaskResolver</x:v>
      </x:c>
      <x:c r="C23" s="22" t="str">
        <x:v>General 路径任务物化</x:v>
      </x:c>
      <x:c r="D23" s="22" t="str">
        <x:v>学生</x:v>
      </x:c>
      <x:c r="E23" s="22" t="str">
        <x:v>tenant_a</x:v>
      </x:c>
      <x:c r="F23" s="22" t="str">
        <x:v>加入 General v1</x:v>
      </x:c>
      <x:c r="G23" s="22" t="str">
        <x:v>处理 outbox</x:v>
      </x:c>
      <x:c r="H23" s="22" t="str">
        <x:v>student_task_item</x:v>
      </x:c>
      <x:c r="I23" s="22" t="str">
        <x:v>来源优先级 100</x:v>
      </x:c>
      <x:c r="J23" s="22" t="str">
        <x:v>P0</x:v>
      </x:c>
      <x:c r="K23" s="22" t="str">
        <x:v>Integration</x:v>
      </x:c>
      <x:c r="L23" s="22" t="str">
        <x:v>是</x:v>
      </x:c>
      <x:c r="M23" s="22" t="str">
        <x:v>未执行</x:v>
      </x:c>
      <x:c r="N23" s="22" t="str"/>
    </x:row>
    <x:row r="24" ht="58" customHeight="1">
      <x:c r="A24" s="22" t="str">
        <x:v>TC-020</x:v>
      </x:c>
      <x:c r="B24" s="22" t="str">
        <x:v>TaskResolver</x:v>
      </x:c>
      <x:c r="C24" s="22" t="str">
        <x:v>TOEFL 路径任务物化</x:v>
      </x:c>
      <x:c r="D24" s="22" t="str">
        <x:v>学生</x:v>
      </x:c>
      <x:c r="E24" s="22" t="str">
        <x:v>tenant_a</x:v>
      </x:c>
      <x:c r="F24" s="22" t="str">
        <x:v>加入 TOEFL v1</x:v>
      </x:c>
      <x:c r="G24" s="22" t="str">
        <x:v>处理 outbox</x:v>
      </x:c>
      <x:c r="H24" s="22" t="str">
        <x:v>student_task_item</x:v>
      </x:c>
      <x:c r="I24" s="22" t="str">
        <x:v>来源优先级 200</x:v>
      </x:c>
      <x:c r="J24" s="22" t="str">
        <x:v>P0</x:v>
      </x:c>
      <x:c r="K24" s="22" t="str">
        <x:v>Integration</x:v>
      </x:c>
      <x:c r="L24" s="22" t="str">
        <x:v>是</x:v>
      </x:c>
      <x:c r="M24" s="22" t="str">
        <x:v>未执行</x:v>
      </x:c>
      <x:c r="N24" s="22" t="str"/>
    </x:row>
    <x:row r="25" ht="58" customHeight="1">
      <x:c r="A25" s="22" t="str">
        <x:v>TC-021</x:v>
      </x:c>
      <x:c r="B25" s="22" t="str">
        <x:v>TaskResolver</x:v>
      </x:c>
      <x:c r="C25" s="22" t="str">
        <x:v>班级任务快照成员</x:v>
      </x:c>
      <x:c r="D25" s="22" t="str">
        <x:v>教师</x:v>
      </x:c>
      <x:c r="E25" s="22" t="str">
        <x:v>tenant_a</x:v>
      </x:c>
      <x:c r="F25" s="22" t="str">
        <x:v>班级含 A/B</x:v>
      </x:c>
      <x:c r="G25" s="22" t="str">
        <x:v>发布班级 assignment</x:v>
      </x:c>
      <x:c r="H25" s="22" t="str">
        <x:v>2 个 source</x:v>
      </x:c>
      <x:c r="I25" s="22" t="str">
        <x:v>后加入 C 默认不补发快照任务</x:v>
      </x:c>
      <x:c r="J25" s="22" t="str">
        <x:v>P1</x:v>
      </x:c>
      <x:c r="K25" s="22" t="str">
        <x:v>Integration</x:v>
      </x:c>
      <x:c r="L25" s="22" t="str">
        <x:v>是</x:v>
      </x:c>
      <x:c r="M25" s="22" t="str">
        <x:v>未执行</x:v>
      </x:c>
      <x:c r="N25" s="22" t="str"/>
    </x:row>
    <x:row r="26" ht="58" customHeight="1">
      <x:c r="A26" s="22" t="str">
        <x:v>TC-022</x:v>
      </x:c>
      <x:c r="B26" s="22" t="str">
        <x:v>TaskResolver</x:v>
      </x:c>
      <x:c r="C26" s="22" t="str">
        <x:v>个人任务分配</x:v>
      </x:c>
      <x:c r="D26" s="22" t="str">
        <x:v>教师</x:v>
      </x:c>
      <x:c r="E26" s="22" t="str">
        <x:v>tenant_a</x:v>
      </x:c>
      <x:c r="F26" s="22" t="str">
        <x:v>关联学生 A/B</x:v>
      </x:c>
      <x:c r="G26" s="22" t="str">
        <x:v>仅分配给 A</x:v>
      </x:c>
      <x:c r="H26" s="22" t="str">
        <x:v>A 200；B 404</x:v>
      </x:c>
      <x:c r="I26" s="22" t="str">
        <x:v>只生成 A 的 item</x:v>
      </x:c>
      <x:c r="J26" s="22" t="str">
        <x:v>P0</x:v>
      </x:c>
      <x:c r="K26" s="22" t="str">
        <x:v>E2E</x:v>
      </x:c>
      <x:c r="L26" s="22" t="str">
        <x:v>是</x:v>
      </x:c>
      <x:c r="M26" s="22" t="str">
        <x:v>未执行</x:v>
      </x:c>
      <x:c r="N26" s="22" t="str"/>
    </x:row>
    <x:row r="27" ht="58" customHeight="1">
      <x:c r="A27" s="22" t="str">
        <x:v>TC-023</x:v>
      </x:c>
      <x:c r="B27" s="22" t="str">
        <x:v>TaskResolver</x:v>
      </x:c>
      <x:c r="C27" s="22" t="str">
        <x:v>管理员强制任务</x:v>
      </x:c>
      <x:c r="D27" s="22" t="str">
        <x:v>租户管理员</x:v>
      </x:c>
      <x:c r="E27" s="22" t="str">
        <x:v>tenant_a</x:v>
      </x:c>
      <x:c r="F27" s="22" t="str">
        <x:v>全机构 assignment</x:v>
      </x:c>
      <x:c r="G27" s="22" t="str">
        <x:v>发布强制任务</x:v>
      </x:c>
      <x:c r="H27" s="22" t="str">
        <x:v>priority=500</x:v>
      </x:c>
      <x:c r="I27" s="22" t="str">
        <x:v>普通教师不能隐藏</x:v>
      </x:c>
      <x:c r="J27" s="22" t="str">
        <x:v>P0</x:v>
      </x:c>
      <x:c r="K27" s="22" t="str">
        <x:v>Integration</x:v>
      </x:c>
      <x:c r="L27" s="22" t="str">
        <x:v>是</x:v>
      </x:c>
      <x:c r="M27" s="22" t="str">
        <x:v>未执行</x:v>
      </x:c>
      <x:c r="N27" s="22" t="str"/>
    </x:row>
    <x:row r="28" ht="58" customHeight="1">
      <x:c r="A28" s="22" t="str">
        <x:v>TC-024</x:v>
      </x:c>
      <x:c r="B28" s="22" t="str">
        <x:v>TaskResolver</x:v>
      </x:c>
      <x:c r="C28" s="22" t="str">
        <x:v>同 slot_key 优先级冲突</x:v>
      </x:c>
      <x:c r="D28" s="22" t="str">
        <x:v>系统</x:v>
      </x:c>
      <x:c r="E28" s="22" t="str">
        <x:v>tenant_a</x:v>
      </x:c>
      <x:c r="F28" s="22" t="str">
        <x:v>五种来源候选</x:v>
      </x:c>
      <x:c r="G28" s="22" t="str">
        <x:v>执行解析</x:v>
      </x:c>
      <x:c r="H28" s="22" t="str">
        <x:v>一个 active</x:v>
      </x:c>
      <x:c r="I28" s="22" t="str">
        <x:v>个人覆盖班级/路径/General，其他 superseded</x:v>
      </x:c>
      <x:c r="J28" s="22" t="str">
        <x:v>P0</x:v>
      </x:c>
      <x:c r="K28" s="22" t="str">
        <x:v>Unit</x:v>
      </x:c>
      <x:c r="L28" s="22" t="str">
        <x:v>是</x:v>
      </x:c>
      <x:c r="M28" s="22" t="str">
        <x:v>未执行</x:v>
      </x:c>
      <x:c r="N28" s="22" t="str"/>
    </x:row>
    <x:row r="29" ht="58" customHeight="1">
      <x:c r="A29" s="22" t="str">
        <x:v>TC-025</x:v>
      </x:c>
      <x:c r="B29" s="22" t="str">
        <x:v>TaskResolver</x:v>
      </x:c>
      <x:c r="C29" s="22" t="str">
        <x:v>同级稳定排序</x:v>
      </x:c>
      <x:c r="D29" s="22" t="str">
        <x:v>系统</x:v>
      </x:c>
      <x:c r="E29" s="22" t="str">
        <x:v>tenant_a</x:v>
      </x:c>
      <x:c r="F29" s="22" t="str">
        <x:v>同级同显式优先级</x:v>
      </x:c>
      <x:c r="G29" s="22" t="str">
        <x:v>执行解析两次</x:v>
      </x:c>
      <x:c r="H29" s="22" t="str">
        <x:v>结果一致</x:v>
      </x:c>
      <x:c r="I29" s="22" t="str">
        <x:v>按发布时间再按 UUID 稳定排序</x:v>
      </x:c>
      <x:c r="J29" s="22" t="str">
        <x:v>P1</x:v>
      </x:c>
      <x:c r="K29" s="22" t="str">
        <x:v>Unit</x:v>
      </x:c>
      <x:c r="L29" s="22" t="str">
        <x:v>是</x:v>
      </x:c>
      <x:c r="M29" s="22" t="str">
        <x:v>未执行</x:v>
      </x:c>
      <x:c r="N29" s="22" t="str"/>
    </x:row>
    <x:row r="30" ht="58" customHeight="1">
      <x:c r="A30" s="22" t="str">
        <x:v>TC-026</x:v>
      </x:c>
      <x:c r="B30" s="22" t="str">
        <x:v>TaskResolver</x:v>
      </x:c>
      <x:c r="C30" s="22" t="str">
        <x:v>同任务多来源合并</x:v>
      </x:c>
      <x:c r="D30" s="22" t="str">
        <x:v>系统</x:v>
      </x:c>
      <x:c r="E30" s="22" t="str">
        <x:v>tenant_a</x:v>
      </x:c>
      <x:c r="F30" s="22" t="str">
        <x:v>班级和路径指向同 task_version</x:v>
      </x:c>
      <x:c r="G30" s="22" t="str">
        <x:v>解析</x:v>
      </x:c>
      <x:c r="H30" s="22" t="str">
        <x:v>一个 item 多个 sources</x:v>
      </x:c>
      <x:c r="I30" s="22" t="str">
        <x:v>不重复展示且保留来源</x:v>
      </x:c>
      <x:c r="J30" s="22" t="str">
        <x:v>P0</x:v>
      </x:c>
      <x:c r="K30" s="22" t="str">
        <x:v>Integration</x:v>
      </x:c>
      <x:c r="L30" s="22" t="str">
        <x:v>是</x:v>
      </x:c>
      <x:c r="M30" s="22" t="str">
        <x:v>未执行</x:v>
      </x:c>
      <x:c r="N30" s="22" t="str"/>
    </x:row>
    <x:row r="31" ht="58" customHeight="1">
      <x:c r="A31" s="22" t="str">
        <x:v>TC-027</x:v>
      </x:c>
      <x:c r="B31" s="22" t="str">
        <x:v>TaskOverride</x:v>
      </x:c>
      <x:c r="C31" s="22" t="str">
        <x:v>隐藏路径任务</x:v>
      </x:c>
      <x:c r="D31" s="22" t="str">
        <x:v>关联教师</x:v>
      </x:c>
      <x:c r="E31" s="22" t="str">
        <x:v>tenant_a</x:v>
      </x:c>
      <x:c r="F31" s="22" t="str">
        <x:v>路径 item active</x:v>
      </x:c>
      <x:c r="G31" s="22" t="str">
        <x:v>追加 hide override</x:v>
      </x:c>
      <x:c r="H31" s="22" t="str">
        <x:v>resolution=hidden</x:v>
      </x:c>
      <x:c r="I31" s="22" t="str">
        <x:v>学生列表不返回，历史保留</x:v>
      </x:c>
      <x:c r="J31" s="22" t="str">
        <x:v>P0</x:v>
      </x:c>
      <x:c r="K31" s="22" t="str">
        <x:v>E2E</x:v>
      </x:c>
      <x:c r="L31" s="22" t="str">
        <x:v>是</x:v>
      </x:c>
      <x:c r="M31" s="22" t="str">
        <x:v>未执行</x:v>
      </x:c>
      <x:c r="N31" s="22" t="str"/>
    </x:row>
    <x:row r="32" ht="58" customHeight="1">
      <x:c r="A32" s="22" t="str">
        <x:v>TC-028</x:v>
      </x:c>
      <x:c r="B32" s="22" t="str">
        <x:v>TaskOverride</x:v>
      </x:c>
      <x:c r="C32" s="22" t="str">
        <x:v>恢复隐藏任务</x:v>
      </x:c>
      <x:c r="D32" s="22" t="str">
        <x:v>关联教师</x:v>
      </x:c>
      <x:c r="E32" s="22" t="str">
        <x:v>tenant_a</x:v>
      </x:c>
      <x:c r="F32" s="22" t="str">
        <x:v>存在 hide override</x:v>
      </x:c>
      <x:c r="G32" s="22" t="str">
        <x:v>追加 unhide</x:v>
      </x:c>
      <x:c r="H32" s="22" t="str">
        <x:v>resolution=active</x:v>
      </x:c>
      <x:c r="I32" s="22" t="str">
        <x:v>恢复原来源与状态</x:v>
      </x:c>
      <x:c r="J32" s="22" t="str">
        <x:v>P1</x:v>
      </x:c>
      <x:c r="K32" s="22" t="str">
        <x:v>E2E</x:v>
      </x:c>
      <x:c r="L32" s="22" t="str">
        <x:v>是</x:v>
      </x:c>
      <x:c r="M32" s="22" t="str">
        <x:v>未执行</x:v>
      </x:c>
      <x:c r="N32" s="22" t="str"/>
    </x:row>
    <x:row r="33" ht="58" customHeight="1">
      <x:c r="A33" s="22" t="str">
        <x:v>TC-029</x:v>
      </x:c>
      <x:c r="B33" s="22" t="str">
        <x:v>TaskOverride</x:v>
      </x:c>
      <x:c r="C33" s="22" t="str">
        <x:v>替换任务</x:v>
      </x:c>
      <x:c r="D33" s="22" t="str">
        <x:v>关联教师</x:v>
      </x:c>
      <x:c r="E33" s="22" t="str">
        <x:v>tenant_a</x:v>
      </x:c>
      <x:c r="F33" s="22" t="str">
        <x:v>原 item active</x:v>
      </x:c>
      <x:c r="G33" s="22" t="str">
        <x:v>追加 replace override</x:v>
      </x:c>
      <x:c r="H33" s="22" t="str">
        <x:v>原 superseded；新 active</x:v>
      </x:c>
      <x:c r="I33" s="22" t="str">
        <x:v>替换关系可审计</x:v>
      </x:c>
      <x:c r="J33" s="22" t="str">
        <x:v>P0</x:v>
      </x:c>
      <x:c r="K33" s="22" t="str">
        <x:v>Integration</x:v>
      </x:c>
      <x:c r="L33" s="22" t="str">
        <x:v>是</x:v>
      </x:c>
      <x:c r="M33" s="22" t="str">
        <x:v>未执行</x:v>
      </x:c>
      <x:c r="N33" s="22" t="str"/>
    </x:row>
    <x:row r="34" ht="58" customHeight="1">
      <x:c r="A34" s="22" t="str">
        <x:v>TC-030</x:v>
      </x:c>
      <x:c r="B34" s="22" t="str">
        <x:v>TaskOverride</x:v>
      </x:c>
      <x:c r="C34" s="22" t="str">
        <x:v>恢复被替换任务</x:v>
      </x:c>
      <x:c r="D34" s="22" t="str">
        <x:v>关联教师</x:v>
      </x:c>
      <x:c r="E34" s="22" t="str">
        <x:v>tenant_a</x:v>
      </x:c>
      <x:c r="F34" s="22" t="str">
        <x:v>存在 replace</x:v>
      </x:c>
      <x:c r="G34" s="22" t="str">
        <x:v>追加 restore</x:v>
      </x:c>
      <x:c r="H34" s="22" t="str">
        <x:v>原 item 重新解析</x:v>
      </x:c>
      <x:c r="I34" s="22" t="str">
        <x:v>不删除新旧历史</x:v>
      </x:c>
      <x:c r="J34" s="22" t="str">
        <x:v>P1</x:v>
      </x:c>
      <x:c r="K34" s="22" t="str">
        <x:v>Integration</x:v>
      </x:c>
      <x:c r="L34" s="22" t="str">
        <x:v>是</x:v>
      </x:c>
      <x:c r="M34" s="22" t="str">
        <x:v>未执行</x:v>
      </x:c>
      <x:c r="N34" s="22" t="str"/>
    </x:row>
    <x:row r="35" ht="58" customHeight="1">
      <x:c r="A35" s="22" t="str">
        <x:v>TC-031</x:v>
      </x:c>
      <x:c r="B35" s="22" t="str">
        <x:v>LearningPath</x:v>
      </x:c>
      <x:c r="C35" s="22" t="str">
        <x:v>暂停路径</x:v>
      </x:c>
      <x:c r="D35" s="22" t="str">
        <x:v>关联教师</x:v>
      </x:c>
      <x:c r="E35" s="22" t="str">
        <x:v>tenant_a</x:v>
      </x:c>
      <x:c r="F35" s="22" t="str">
        <x:v>路径有未开始与进行中任务</x:v>
      </x:c>
      <x:c r="G35" s="22" t="str">
        <x:v>pause enrollment</x:v>
      </x:c>
      <x:c r="H35" s="22" t="str">
        <x:v>未开始隐藏；进行中可见</x:v>
      </x:c>
      <x:c r="I35" s="22" t="str">
        <x:v>历史和已开始内容不丢失</x:v>
      </x:c>
      <x:c r="J35" s="22" t="str">
        <x:v>P0</x:v>
      </x:c>
      <x:c r="K35" s="22" t="str">
        <x:v>E2E</x:v>
      </x:c>
      <x:c r="L35" s="22" t="str">
        <x:v>是</x:v>
      </x:c>
      <x:c r="M35" s="22" t="str">
        <x:v>未执行</x:v>
      </x:c>
      <x:c r="N35" s="22" t="str"/>
    </x:row>
    <x:row r="36" ht="58" customHeight="1">
      <x:c r="A36" s="22" t="str">
        <x:v>TC-032</x:v>
      </x:c>
      <x:c r="B36" s="22" t="str">
        <x:v>LearningPath</x:v>
      </x:c>
      <x:c r="C36" s="22" t="str">
        <x:v>恢复路径</x:v>
      </x:c>
      <x:c r="D36" s="22" t="str">
        <x:v>关联教师</x:v>
      </x:c>
      <x:c r="E36" s="22" t="str">
        <x:v>tenant_a</x:v>
      </x:c>
      <x:c r="F36" s="22" t="str">
        <x:v>Enrollment paused</x:v>
      </x:c>
      <x:c r="G36" s="22" t="str">
        <x:v>resume</x:v>
      </x:c>
      <x:c r="H36" s="22" t="str">
        <x:v>重新物化可用项</x:v>
      </x:c>
      <x:c r="I36" s="22" t="str">
        <x:v>不重复已存在 item</x:v>
      </x:c>
      <x:c r="J36" s="22" t="str">
        <x:v>P1</x:v>
      </x:c>
      <x:c r="K36" s="22" t="str">
        <x:v>Integration</x:v>
      </x:c>
      <x:c r="L36" s="22" t="str">
        <x:v>是</x:v>
      </x:c>
      <x:c r="M36" s="22" t="str">
        <x:v>未执行</x:v>
      </x:c>
      <x:c r="N36" s="22" t="str"/>
    </x:row>
    <x:row r="37" ht="58" customHeight="1">
      <x:c r="A37" s="22" t="str">
        <x:v>TC-033</x:v>
      </x:c>
      <x:c r="B37" s="22" t="str">
        <x:v>Class</x:v>
      </x:c>
      <x:c r="C37" s="22" t="str">
        <x:v>退班保留历史</x:v>
      </x:c>
      <x:c r="D37" s="22" t="str">
        <x:v>教师</x:v>
      </x:c>
      <x:c r="E37" s="22" t="str">
        <x:v>tenant_a</x:v>
      </x:c>
      <x:c r="F37" s="22" t="str">
        <x:v>学生有已提交班级任务</x:v>
      </x:c>
      <x:c r="G37" s="22" t="str">
        <x:v>移出班级</x:v>
      </x:c>
      <x:c r="H37" s="22" t="str">
        <x:v>历史 200</x:v>
      </x:c>
      <x:c r="I37" s="22" t="str">
        <x:v>不删除 item/attempt/submission</x:v>
      </x:c>
      <x:c r="J37" s="22" t="str">
        <x:v>P0</x:v>
      </x:c>
      <x:c r="K37" s="22" t="str">
        <x:v>Integration</x:v>
      </x:c>
      <x:c r="L37" s="22" t="str">
        <x:v>是</x:v>
      </x:c>
      <x:c r="M37" s="22" t="str">
        <x:v>未执行</x:v>
      </x:c>
      <x:c r="N37" s="22" t="str"/>
    </x:row>
    <x:row r="38" ht="58" customHeight="1">
      <x:c r="A38" s="22" t="str">
        <x:v>TC-034</x:v>
      </x:c>
      <x:c r="B38" s="22" t="str">
        <x:v>LearningPath</x:v>
      </x:c>
      <x:c r="C38" s="22" t="str">
        <x:v>动态路径受众</x:v>
      </x:c>
      <x:c r="D38" s="22" t="str">
        <x:v>系统</x:v>
      </x:c>
      <x:c r="E38" s="22" t="str">
        <x:v>tenant_a</x:v>
      </x:c>
      <x:c r="F38" s="22" t="str">
        <x:v>路径 assignment active</x:v>
      </x:c>
      <x:c r="G38" s="22" t="str">
        <x:v>新学生加入路径</x:v>
      </x:c>
      <x:c r="H38" s="22" t="str">
        <x:v>生成 item</x:v>
      </x:c>
      <x:c r="I38" s="22" t="str">
        <x:v>只生成当前仍有效任务</x:v>
      </x:c>
      <x:c r="J38" s="22" t="str">
        <x:v>P1</x:v>
      </x:c>
      <x:c r="K38" s="22" t="str">
        <x:v>Integration</x:v>
      </x:c>
      <x:c r="L38" s="22" t="str">
        <x:v>是</x:v>
      </x:c>
      <x:c r="M38" s="22" t="str">
        <x:v>未执行</x:v>
      </x:c>
      <x:c r="N38" s="22" t="str"/>
    </x:row>
    <x:row r="39" ht="58" customHeight="1">
      <x:c r="A39" s="22" t="str">
        <x:v>TC-035</x:v>
      </x:c>
      <x:c r="B39" s="22" t="str">
        <x:v>Outbox</x:v>
      </x:c>
      <x:c r="C39" s="22" t="str">
        <x:v>消息重放幂等</x:v>
      </x:c>
      <x:c r="D39" s="22" t="str">
        <x:v>Worker</x:v>
      </x:c>
      <x:c r="E39" s="22" t="str">
        <x:v>tenant_a</x:v>
      </x:c>
      <x:c r="F39" s="22" t="str">
        <x:v>同一 outbox 重复投递</x:v>
      </x:c>
      <x:c r="G39" s="22" t="str">
        <x:v>处理两次</x:v>
      </x:c>
      <x:c r="H39" s="22" t="str">
        <x:v>单一 item/source</x:v>
      </x:c>
      <x:c r="I39" s="22" t="str">
        <x:v>consumer key 防重复</x:v>
      </x:c>
      <x:c r="J39" s="22" t="str">
        <x:v>P0</x:v>
      </x:c>
      <x:c r="K39" s="22" t="str">
        <x:v>Integration</x:v>
      </x:c>
      <x:c r="L39" s="22" t="str">
        <x:v>是</x:v>
      </x:c>
      <x:c r="M39" s="22" t="str">
        <x:v>未执行</x:v>
      </x:c>
      <x:c r="N39" s="22" t="str"/>
    </x:row>
    <x:row r="40" ht="58" customHeight="1">
      <x:c r="A40" s="22" t="str">
        <x:v>TC-036</x:v>
      </x:c>
      <x:c r="B40" s="22" t="str">
        <x:v>Outbox</x:v>
      </x:c>
      <x:c r="C40" s="22" t="str">
        <x:v>Worker 缺租户上下文</x:v>
      </x:c>
      <x:c r="D40" s="22" t="str">
        <x:v>Worker</x:v>
      </x:c>
      <x:c r="E40" s="22" t="str">
        <x:v>无</x:v>
      </x:c>
      <x:c r="F40" s="22" t="str">
        <x:v>消息缺 tenant_id</x:v>
      </x:c>
      <x:c r="G40" s="22" t="str">
        <x:v>执行 handler</x:v>
      </x:c>
      <x:c r="H40" s="22" t="str">
        <x:v>失败并告警</x:v>
      </x:c>
      <x:c r="I40" s="22" t="str">
        <x:v>不得使用默认或空租户</x:v>
      </x:c>
      <x:c r="J40" s="22" t="str">
        <x:v>P0</x:v>
      </x:c>
      <x:c r="K40" s="22" t="str">
        <x:v>Security</x:v>
      </x:c>
      <x:c r="L40" s="22" t="str">
        <x:v>是</x:v>
      </x:c>
      <x:c r="M40" s="22" t="str">
        <x:v>未执行</x:v>
      </x:c>
      <x:c r="N40" s="22" t="str"/>
    </x:row>
    <x:row r="41" ht="58" customHeight="1">
      <x:c r="A41" s="22" t="str">
        <x:v>TC-037</x:v>
      </x:c>
      <x:c r="B41" s="22" t="str">
        <x:v>Assessment</x:v>
      </x:c>
      <x:c r="C41" s="22" t="str">
        <x:v>开始任务幂等</x:v>
      </x:c>
      <x:c r="D41" s="22" t="str">
        <x:v>学生</x:v>
      </x:c>
      <x:c r="E41" s="22" t="str">
        <x:v>tenant_a</x:v>
      </x:c>
      <x:c r="F41" s="22" t="str">
        <x:v>item available</x:v>
      </x:c>
      <x:c r="G41" s="22" t="str">
        <x:v>相同 key 请求两次</x:v>
      </x:c>
      <x:c r="H41" s="22" t="str">
        <x:v>同一 attempt</x:v>
      </x:c>
      <x:c r="I41" s="22" t="str">
        <x:v>仅一个 active attempt</x:v>
      </x:c>
      <x:c r="J41" s="22" t="str">
        <x:v>P0</x:v>
      </x:c>
      <x:c r="K41" s="22" t="str">
        <x:v>E2E</x:v>
      </x:c>
      <x:c r="L41" s="22" t="str">
        <x:v>是</x:v>
      </x:c>
      <x:c r="M41" s="22" t="str">
        <x:v>未执行</x:v>
      </x:c>
      <x:c r="N41" s="22" t="str"/>
    </x:row>
    <x:row r="42" ht="58" customHeight="1">
      <x:c r="A42" s="22" t="str">
        <x:v>TC-038</x:v>
      </x:c>
      <x:c r="B42" s="22" t="str">
        <x:v>Assessment</x:v>
      </x:c>
      <x:c r="C42" s="22" t="str">
        <x:v>最大重做次数</x:v>
      </x:c>
      <x:c r="D42" s="22" t="str">
        <x:v>学生</x:v>
      </x:c>
      <x:c r="E42" s="22" t="str">
        <x:v>tenant_a</x:v>
      </x:c>
      <x:c r="F42" s="22" t="str">
        <x:v>已达 max_attempts</x:v>
      </x:c>
      <x:c r="G42" s="22" t="str">
        <x:v>再次创建 attempt</x:v>
      </x:c>
      <x:c r="H42" s="22" t="str">
        <x:v>409</x:v>
      </x:c>
      <x:c r="I42" s="22" t="str">
        <x:v>不创建新 attempt</x:v>
      </x:c>
      <x:c r="J42" s="22" t="str">
        <x:v>P1</x:v>
      </x:c>
      <x:c r="K42" s="22" t="str">
        <x:v>Integration</x:v>
      </x:c>
      <x:c r="L42" s="22" t="str">
        <x:v>是</x:v>
      </x:c>
      <x:c r="M42" s="22" t="str">
        <x:v>未执行</x:v>
      </x:c>
      <x:c r="N42" s="22" t="str"/>
    </x:row>
    <x:row r="43" ht="58" customHeight="1">
      <x:c r="A43" s="22" t="str">
        <x:v>TC-039</x:v>
      </x:c>
      <x:c r="B43" s="22" t="str">
        <x:v>Autosave</x:v>
      </x:c>
      <x:c r="C43" s="22" t="str">
        <x:v>正确 revision 自动保存</x:v>
      </x:c>
      <x:c r="D43" s="22" t="str">
        <x:v>学生</x:v>
      </x:c>
      <x:c r="E43" s="22" t="str">
        <x:v>tenant_a</x:v>
      </x:c>
      <x:c r="F43" s="22" t="str">
        <x:v>draft revision=3</x:v>
      </x:c>
      <x:c r="G43" s="22" t="str">
        <x:v>If-Match 3 保存</x:v>
      </x:c>
      <x:c r="H43" s="22" t="str">
        <x:v>200 ETag 4</x:v>
      </x:c>
      <x:c r="I43" s="22" t="str">
        <x:v>答案更新且 revision 递增</x:v>
      </x:c>
      <x:c r="J43" s="22" t="str">
        <x:v>P0</x:v>
      </x:c>
      <x:c r="K43" s="22" t="str">
        <x:v>Integration</x:v>
      </x:c>
      <x:c r="L43" s="22" t="str">
        <x:v>是</x:v>
      </x:c>
      <x:c r="M43" s="22" t="str">
        <x:v>未执行</x:v>
      </x:c>
      <x:c r="N43" s="22" t="str"/>
    </x:row>
    <x:row r="44" ht="58" customHeight="1">
      <x:c r="A44" s="22" t="str">
        <x:v>TC-040</x:v>
      </x:c>
      <x:c r="B44" s="22" t="str">
        <x:v>Autosave</x:v>
      </x:c>
      <x:c r="C44" s="22" t="str">
        <x:v>乱序自动保存</x:v>
      </x:c>
      <x:c r="D44" s="22" t="str">
        <x:v>学生</x:v>
      </x:c>
      <x:c r="E44" s="22" t="str">
        <x:v>tenant_a</x:v>
      </x:c>
      <x:c r="F44" s="22" t="str">
        <x:v>draft revision=4</x:v>
      </x:c>
      <x:c r="G44" s="22" t="str">
        <x:v>If-Match 3 保存</x:v>
      </x:c>
      <x:c r="H44" s="22" t="str">
        <x:v>412/409</x:v>
      </x:c>
      <x:c r="I44" s="22" t="str">
        <x:v>返回最新 revision，不覆盖新答案</x:v>
      </x:c>
      <x:c r="J44" s="22" t="str">
        <x:v>P0</x:v>
      </x:c>
      <x:c r="K44" s="22" t="str">
        <x:v>Integration</x:v>
      </x:c>
      <x:c r="L44" s="22" t="str">
        <x:v>是</x:v>
      </x:c>
      <x:c r="M44" s="22" t="str">
        <x:v>未执行</x:v>
      </x:c>
      <x:c r="N44" s="22" t="str"/>
    </x:row>
    <x:row r="45" ht="58" customHeight="1">
      <x:c r="A45" s="22" t="str">
        <x:v>TC-041</x:v>
      </x:c>
      <x:c r="B45" s="22" t="str">
        <x:v>Submission</x:v>
      </x:c>
      <x:c r="C45" s="22" t="str">
        <x:v>提交幂等</x:v>
      </x:c>
      <x:c r="D45" s="22" t="str">
        <x:v>学生</x:v>
      </x:c>
      <x:c r="E45" s="22" t="str">
        <x:v>tenant_a</x:v>
      </x:c>
      <x:c r="F45" s="22" t="str">
        <x:v>attempt in_progress</x:v>
      </x:c>
      <x:c r="G45" s="22" t="str">
        <x:v>同 key 提交两次</x:v>
      </x:c>
      <x:c r="H45" s="22" t="str">
        <x:v>同一 snapshot</x:v>
      </x:c>
      <x:c r="I45" s="22" t="str">
        <x:v>评分只执行一次</x:v>
      </x:c>
      <x:c r="J45" s="22" t="str">
        <x:v>P0</x:v>
      </x:c>
      <x:c r="K45" s="22" t="str">
        <x:v>E2E</x:v>
      </x:c>
      <x:c r="L45" s="22" t="str">
        <x:v>是</x:v>
      </x:c>
      <x:c r="M45" s="22" t="str">
        <x:v>未执行</x:v>
      </x:c>
      <x:c r="N45" s="22" t="str"/>
    </x:row>
    <x:row r="46" ht="58" customHeight="1">
      <x:c r="A46" s="22" t="str">
        <x:v>TC-042</x:v>
      </x:c>
      <x:c r="B46" s="22" t="str">
        <x:v>Submission</x:v>
      </x:c>
      <x:c r="C46" s="22" t="str">
        <x:v>不同 key 重复提交</x:v>
      </x:c>
      <x:c r="D46" s="22" t="str">
        <x:v>学生</x:v>
      </x:c>
      <x:c r="E46" s="22" t="str">
        <x:v>tenant_a</x:v>
      </x:c>
      <x:c r="F46" s="22" t="str">
        <x:v>已提交</x:v>
      </x:c>
      <x:c r="G46" s="22" t="str">
        <x:v>新 key 再提交</x:v>
      </x:c>
      <x:c r="H46" s="22" t="str">
        <x:v>409</x:v>
      </x:c>
      <x:c r="I46" s="22" t="str">
        <x:v>不生成第二 snapshot</x:v>
      </x:c>
      <x:c r="J46" s="22" t="str">
        <x:v>P0</x:v>
      </x:c>
      <x:c r="K46" s="22" t="str">
        <x:v>Integration</x:v>
      </x:c>
      <x:c r="L46" s="22" t="str">
        <x:v>是</x:v>
      </x:c>
      <x:c r="M46" s="22" t="str">
        <x:v>未执行</x:v>
      </x:c>
      <x:c r="N46" s="22" t="str"/>
    </x:row>
    <x:row r="47" ht="58" customHeight="1">
      <x:c r="A47" s="22" t="str">
        <x:v>TC-043</x:v>
      </x:c>
      <x:c r="B47" s="22" t="str">
        <x:v>Submission</x:v>
      </x:c>
      <x:c r="C47" s="22" t="str">
        <x:v>历史快照重现</x:v>
      </x:c>
      <x:c r="D47" s="22" t="str">
        <x:v>教师</x:v>
      </x:c>
      <x:c r="E47" s="22" t="str">
        <x:v>tenant_a</x:v>
      </x:c>
      <x:c r="F47" s="22" t="str">
        <x:v>题目已发布新版本</x:v>
      </x:c>
      <x:c r="G47" s="22" t="str">
        <x:v>查看旧 submission</x:v>
      </x:c>
      <x:c r="H47" s="22" t="str">
        <x:v>200</x:v>
      </x:c>
      <x:c r="I47" s="22" t="str">
        <x:v>题干、选项和评分规则与作答时一致</x:v>
      </x:c>
      <x:c r="J47" s="22" t="str">
        <x:v>P0</x:v>
      </x:c>
      <x:c r="K47" s="22" t="str">
        <x:v>E2E</x:v>
      </x:c>
      <x:c r="L47" s="22" t="str">
        <x:v>是</x:v>
      </x:c>
      <x:c r="M47" s="22" t="str">
        <x:v>未执行</x:v>
      </x:c>
      <x:c r="N47" s="22" t="str"/>
    </x:row>
    <x:row r="48" ht="58" customHeight="1">
      <x:c r="A48" s="22" t="str">
        <x:v>TC-044</x:v>
      </x:c>
      <x:c r="B48" s="22" t="str">
        <x:v>Scoring</x:v>
      </x:c>
      <x:c r="C48" s="22" t="str">
        <x:v>客观题自动评分</x:v>
      </x:c>
      <x:c r="D48" s="22" t="str">
        <x:v>系统</x:v>
      </x:c>
      <x:c r="E48" s="22" t="str">
        <x:v>tenant_a</x:v>
      </x:c>
      <x:c r="F48" s="22" t="str">
        <x:v>答案快照完整</x:v>
      </x:c>
      <x:c r="G48" s="22" t="str">
        <x:v>提交选择/填空</x:v>
      </x:c>
      <x:c r="H48" s="22" t="str">
        <x:v>score_decision auto</x:v>
      </x:c>
      <x:c r="I48" s="22" t="str">
        <x:v>支持大小写、空格和部分得分规则</x:v>
      </x:c>
      <x:c r="J48" s="22" t="str">
        <x:v>P0</x:v>
      </x:c>
      <x:c r="K48" s="22" t="str">
        <x:v>Unit</x:v>
      </x:c>
      <x:c r="L48" s="22" t="str">
        <x:v>是</x:v>
      </x:c>
      <x:c r="M48" s="22" t="str">
        <x:v>未执行</x:v>
      </x:c>
      <x:c r="N48" s="22" t="str"/>
    </x:row>
    <x:row r="49" ht="58" customHeight="1">
      <x:c r="A49" s="22" t="str">
        <x:v>TC-045</x:v>
      </x:c>
      <x:c r="B49" s="22" t="str">
        <x:v>Grading</x:v>
      </x:c>
      <x:c r="C49" s="22" t="str">
        <x:v>文本写作进入批改</x:v>
      </x:c>
      <x:c r="D49" s="22" t="str">
        <x:v>学生/教师</x:v>
      </x:c>
      <x:c r="E49" s="22" t="str">
        <x:v>tenant_a</x:v>
      </x:c>
      <x:c r="F49" s="22" t="str">
        <x:v>写作已提交</x:v>
      </x:c>
      <x:c r="G49" s="22" t="str">
        <x:v>教师打开待批改</x:v>
      </x:c>
      <x:c r="H49" s="22" t="str">
        <x:v>workflow=grading</x:v>
      </x:c>
      <x:c r="I49" s="22" t="str">
        <x:v>教师可保存评分与反馈</x:v>
      </x:c>
      <x:c r="J49" s="22" t="str">
        <x:v>P0</x:v>
      </x:c>
      <x:c r="K49" s="22" t="str">
        <x:v>E2E</x:v>
      </x:c>
      <x:c r="L49" s="22" t="str">
        <x:v>是</x:v>
      </x:c>
      <x:c r="M49" s="22" t="str">
        <x:v>未执行</x:v>
      </x:c>
      <x:c r="N49" s="22" t="str"/>
    </x:row>
    <x:row r="50" ht="58" customHeight="1">
      <x:c r="A50" s="22" t="str">
        <x:v>TC-046</x:v>
      </x:c>
      <x:c r="B50" s="22" t="str">
        <x:v>Grading</x:v>
      </x:c>
      <x:c r="C50" s="22" t="str">
        <x:v>教师退回再提交</x:v>
      </x:c>
      <x:c r="D50" s="22" t="str">
        <x:v>教师/学生</x:v>
      </x:c>
      <x:c r="E50" s="22" t="str">
        <x:v>tenant_a</x:v>
      </x:c>
      <x:c r="F50" s="22" t="str">
        <x:v>submission 已提交</x:v>
      </x:c>
      <x:c r="G50" s="22" t="str">
        <x:v>退回、修改、再提交</x:v>
      </x:c>
      <x:c r="H50" s="22" t="str">
        <x:v>returned→submitted</x:v>
      </x:c>
      <x:c r="I50" s="22" t="str">
        <x:v>同 attempt 产生新 submission revision</x:v>
      </x:c>
      <x:c r="J50" s="22" t="str">
        <x:v>P0</x:v>
      </x:c>
      <x:c r="K50" s="22" t="str">
        <x:v>E2E</x:v>
      </x:c>
      <x:c r="L50" s="22" t="str">
        <x:v>是</x:v>
      </x:c>
      <x:c r="M50" s="22" t="str">
        <x:v>未执行</x:v>
      </x:c>
      <x:c r="N50" s="22" t="str"/>
    </x:row>
    <x:row r="51" ht="58" customHeight="1">
      <x:c r="A51" s="22" t="str">
        <x:v>TC-047</x:v>
      </x:c>
      <x:c r="B51" s="22" t="str">
        <x:v>Assessment</x:v>
      </x:c>
      <x:c r="C51" s="22" t="str">
        <x:v>主动重做</x:v>
      </x:c>
      <x:c r="D51" s="22" t="str">
        <x:v>学生</x:v>
      </x:c>
      <x:c r="E51" s="22" t="str">
        <x:v>tenant_a</x:v>
      </x:c>
      <x:c r="F51" s="22" t="str">
        <x:v>任务允许重做</x:v>
      </x:c>
      <x:c r="G51" s="22" t="str">
        <x:v>创建新 attempt</x:v>
      </x:c>
      <x:c r="H51" s="22" t="str">
        <x:v>attempt_no +1</x:v>
      </x:c>
      <x:c r="I51" s="22" t="str">
        <x:v>旧 attempt 保持只读</x:v>
      </x:c>
      <x:c r="J51" s="22" t="str">
        <x:v>P1</x:v>
      </x:c>
      <x:c r="K51" s="22" t="str">
        <x:v>E2E</x:v>
      </x:c>
      <x:c r="L51" s="22" t="str">
        <x:v>是</x:v>
      </x:c>
      <x:c r="M51" s="22" t="str">
        <x:v>未执行</x:v>
      </x:c>
      <x:c r="N51" s="22" t="str"/>
    </x:row>
    <x:row r="52" ht="58" customHeight="1">
      <x:c r="A52" s="22" t="str">
        <x:v>TC-048</x:v>
      </x:c>
      <x:c r="B52" s="22" t="str">
        <x:v>Grading</x:v>
      </x:c>
      <x:c r="C52" s="22" t="str">
        <x:v>双教师并发评分</x:v>
      </x:c>
      <x:c r="D52" s="22" t="str">
        <x:v>教师A/B</x:v>
      </x:c>
      <x:c r="E52" s="22" t="str">
        <x:v>tenant_a</x:v>
      </x:c>
      <x:c r="F52" s="22" t="str">
        <x:v>同一 grading version</x:v>
      </x:c>
      <x:c r="G52" s="22" t="str">
        <x:v>同时提交评分</x:v>
      </x:c>
      <x:c r="H52" s="22" t="str">
        <x:v>一个成功一个 409</x:v>
      </x:c>
      <x:c r="I52" s="22" t="str">
        <x:v>不静默覆盖评分</x:v>
      </x:c>
      <x:c r="J52" s="22" t="str">
        <x:v>P0</x:v>
      </x:c>
      <x:c r="K52" s="22" t="str">
        <x:v>Integration</x:v>
      </x:c>
      <x:c r="L52" s="22" t="str">
        <x:v>是</x:v>
      </x:c>
      <x:c r="M52" s="22" t="str">
        <x:v>未执行</x:v>
      </x:c>
      <x:c r="N52" s="22" t="str"/>
    </x:row>
    <x:row r="53" ht="58" customHeight="1">
      <x:c r="A53" s="22" t="str">
        <x:v>TC-049</x:v>
      </x:c>
      <x:c r="B53" s="22" t="str">
        <x:v>Scoring</x:v>
      </x:c>
      <x:c r="C53" s="22" t="str">
        <x:v>最终成绩优先级</x:v>
      </x:c>
      <x:c r="D53" s="22" t="str">
        <x:v>管理员/教师/系统</x:v>
      </x:c>
      <x:c r="E53" s="22" t="str">
        <x:v>tenant_a</x:v>
      </x:c>
      <x:c r="F53" s="22" t="str">
        <x:v>三类 score decision 存在</x:v>
      </x:c>
      <x:c r="G53" s="22" t="str">
        <x:v>读取 final score</x:v>
      </x:c>
      <x:c r="H53" s="22" t="str">
        <x:v>管理员修正值</x:v>
      </x:c>
      <x:c r="I53" s="22" t="str">
        <x:v>所有决策历史可见</x:v>
      </x:c>
      <x:c r="J53" s="22" t="str">
        <x:v>P0</x:v>
      </x:c>
      <x:c r="K53" s="22" t="str">
        <x:v>Unit</x:v>
      </x:c>
      <x:c r="L53" s="22" t="str">
        <x:v>是</x:v>
      </x:c>
      <x:c r="M53" s="22" t="str">
        <x:v>未执行</x:v>
      </x:c>
      <x:c r="N53" s="22" t="str"/>
    </x:row>
    <x:row r="54" ht="58" customHeight="1">
      <x:c r="A54" s="22" t="str">
        <x:v>TC-050</x:v>
      </x:c>
      <x:c r="B54" s="22" t="str">
        <x:v>Submission</x:v>
      </x:c>
      <x:c r="C54" s="22" t="str">
        <x:v>迟交策略 allow/block</x:v>
      </x:c>
      <x:c r="D54" s="22" t="str">
        <x:v>学生</x:v>
      </x:c>
      <x:c r="E54" s="22" t="str">
        <x:v>tenant_a</x:v>
      </x:c>
      <x:c r="F54" s="22" t="str">
        <x:v>已过 due_at</x:v>
      </x:c>
      <x:c r="G54" s="22" t="str">
        <x:v>分别提交两类任务</x:v>
      </x:c>
      <x:c r="H54" s="22" t="str">
        <x:v>allow=提交并标 late；block=409</x:v>
      </x:c>
      <x:c r="I54" s="22" t="str">
        <x:v>不自动扣分</x:v>
      </x:c>
      <x:c r="J54" s="22" t="str">
        <x:v>P1</x:v>
      </x:c>
      <x:c r="K54" s="22" t="str">
        <x:v>Integration</x:v>
      </x:c>
      <x:c r="L54" s="22" t="str">
        <x:v>是</x:v>
      </x:c>
      <x:c r="M54" s="22" t="str">
        <x:v>未执行</x:v>
      </x:c>
      <x:c r="N54" s="22" t="str"/>
    </x:row>
    <x:row r="55" ht="58" customHeight="1">
      <x:c r="A55" s="22" t="str">
        <x:v>TC-051</x:v>
      </x:c>
      <x:c r="B55" s="22" t="str">
        <x:v>Assessment</x:v>
      </x:c>
      <x:c r="C55" s="22" t="str">
        <x:v>答案显示规则</x:v>
      </x:c>
      <x:c r="D55" s="22" t="str">
        <x:v>学生</x:v>
      </x:c>
      <x:c r="E55" s="22" t="str">
        <x:v>tenant_a</x:v>
      </x:c>
      <x:c r="F55" s="22" t="str">
        <x:v>任务完成</x:v>
      </x:c>
      <x:c r="G55" s="22" t="str">
        <x:v>截止前/后读取解析</x:v>
      </x:c>
      <x:c r="H55" s="22" t="str">
        <x:v>按 show_answers_rule</x:v>
      </x:c>
      <x:c r="I55" s="22" t="str">
        <x:v>不能通过详情接口绕过</x:v>
      </x:c>
      <x:c r="J55" s="22" t="str">
        <x:v>P1</x:v>
      </x:c>
      <x:c r="K55" s="22" t="str">
        <x:v>Security</x:v>
      </x:c>
      <x:c r="L55" s="22" t="str">
        <x:v>是</x:v>
      </x:c>
      <x:c r="M55" s="22" t="str">
        <x:v>未执行</x:v>
      </x:c>
      <x:c r="N55" s="22" t="str"/>
    </x:row>
    <x:row r="56" ht="58" customHeight="1">
      <x:c r="A56" s="22" t="str">
        <x:v>TC-052</x:v>
      </x:c>
      <x:c r="B56" s="22" t="str">
        <x:v>TeacherAccess</x:v>
      </x:c>
      <x:c r="C56" s="22" t="str">
        <x:v>关联教师读取学生</x:v>
      </x:c>
      <x:c r="D56" s="22" t="str">
        <x:v>教师</x:v>
      </x:c>
      <x:c r="E56" s="22" t="str">
        <x:v>tenant_a</x:v>
      </x:c>
      <x:c r="F56" s="22" t="str">
        <x:v>student_teacher_link 有效</x:v>
      </x:c>
      <x:c r="G56" s="22" t="str">
        <x:v>读取详情和提交</x:v>
      </x:c>
      <x:c r="H56" s="22" t="str">
        <x:v>200</x:v>
      </x:c>
      <x:c r="I56" s="22" t="str">
        <x:v>仅授权字段返回</x:v>
      </x:c>
      <x:c r="J56" s="22" t="str">
        <x:v>P0</x:v>
      </x:c>
      <x:c r="K56" s="22" t="str">
        <x:v>E2E</x:v>
      </x:c>
      <x:c r="L56" s="22" t="str">
        <x:v>是</x:v>
      </x:c>
      <x:c r="M56" s="22" t="str">
        <x:v>未执行</x:v>
      </x:c>
      <x:c r="N56" s="22" t="str"/>
    </x:row>
    <x:row r="57" ht="58" customHeight="1">
      <x:c r="A57" s="22" t="str">
        <x:v>TC-053</x:v>
      </x:c>
      <x:c r="B57" s="22" t="str">
        <x:v>TeacherAccess</x:v>
      </x:c>
      <x:c r="C57" s="22" t="str">
        <x:v>无关教师直接访问</x:v>
      </x:c>
      <x:c r="D57" s="22" t="str">
        <x:v>教师</x:v>
      </x:c>
      <x:c r="E57" s="22" t="str">
        <x:v>tenant_a</x:v>
      </x:c>
      <x:c r="F57" s="22" t="str">
        <x:v>无关系</x:v>
      </x:c>
      <x:c r="G57" s="22" t="str">
        <x:v>使用已知 student UUID</x:v>
      </x:c>
      <x:c r="H57" s="22" t="str">
        <x:v>404</x:v>
      </x:c>
      <x:c r="I57" s="22" t="str">
        <x:v>不暴露学生存在</x:v>
      </x:c>
      <x:c r="J57" s="22" t="str">
        <x:v>P0</x:v>
      </x:c>
      <x:c r="K57" s="22" t="str">
        <x:v>Security</x:v>
      </x:c>
      <x:c r="L57" s="22" t="str">
        <x:v>是</x:v>
      </x:c>
      <x:c r="M57" s="22" t="str">
        <x:v>未执行</x:v>
      </x:c>
      <x:c r="N57" s="22" t="str"/>
    </x:row>
    <x:row r="58" ht="58" customHeight="1">
      <x:c r="A58" s="22" t="str">
        <x:v>TC-054</x:v>
      </x:c>
      <x:c r="B58" s="22" t="str">
        <x:v>Class</x:v>
      </x:c>
      <x:c r="C58" s="22" t="str">
        <x:v>协作教师管理班级</x:v>
      </x:c>
      <x:c r="D58" s="22" t="str">
        <x:v>教师</x:v>
      </x:c>
      <x:c r="E58" s="22" t="str">
        <x:v>tenant_a</x:v>
      </x:c>
      <x:c r="F58" s="22" t="str">
        <x:v>class_teacher role=co_teacher</x:v>
      </x:c>
      <x:c r="G58" s="22" t="str">
        <x:v>读取/分配任务</x:v>
      </x:c>
      <x:c r="H58" s="22" t="str">
        <x:v>按权限 200/403</x:v>
      </x:c>
      <x:c r="I58" s="22" t="str">
        <x:v>权限矩阵可配置</x:v>
      </x:c>
      <x:c r="J58" s="22" t="str">
        <x:v>P1</x:v>
      </x:c>
      <x:c r="K58" s="22" t="str">
        <x:v>E2E</x:v>
      </x:c>
      <x:c r="L58" s="22" t="str">
        <x:v>部分</x:v>
      </x:c>
      <x:c r="M58" s="22" t="str">
        <x:v>未执行</x:v>
      </x:c>
      <x:c r="N58" s="22" t="str"/>
    </x:row>
    <x:row r="59" ht="58" customHeight="1">
      <x:c r="A59" s="22" t="str">
        <x:v>TC-055</x:v>
      </x:c>
      <x:c r="B59" s="22" t="str">
        <x:v>Grading</x:v>
      </x:c>
      <x:c r="C59" s="22" t="str">
        <x:v>管理员修正成绩需原因</x:v>
      </x:c>
      <x:c r="D59" s="22" t="str">
        <x:v>租户管理员</x:v>
      </x:c>
      <x:c r="E59" s="22" t="str">
        <x:v>tenant_a</x:v>
      </x:c>
      <x:c r="F59" s="22" t="str">
        <x:v>教师成绩存在</x:v>
      </x:c>
      <x:c r="G59" s="22" t="str">
        <x:v>提交空原因/有效原因</x:v>
      </x:c>
      <x:c r="H59" s="22" t="str">
        <x:v>400/201</x:v>
      </x:c>
      <x:c r="I59" s="22" t="str">
        <x:v>写 score_decision 与 audit_log</x:v>
      </x:c>
      <x:c r="J59" s="22" t="str">
        <x:v>P0</x:v>
      </x:c>
      <x:c r="K59" s="22" t="str">
        <x:v>Security</x:v>
      </x:c>
      <x:c r="L59" s="22" t="str">
        <x:v>是</x:v>
      </x:c>
      <x:c r="M59" s="22" t="str">
        <x:v>未执行</x:v>
      </x:c>
      <x:c r="N59" s="22" t="str"/>
    </x:row>
    <x:row r="60" ht="58" customHeight="1">
      <x:c r="A60" s="22" t="str">
        <x:v>TC-056</x:v>
      </x:c>
      <x:c r="B60" s="22" t="str">
        <x:v>Audit</x:v>
      </x:c>
      <x:c r="C60" s="22" t="str">
        <x:v>关键操作审计完整</x:v>
      </x:c>
      <x:c r="D60" s="22" t="str">
        <x:v>审计员</x:v>
      </x:c>
      <x:c r="E60" s="22" t="str">
        <x:v>tenant_a</x:v>
      </x:c>
      <x:c r="F60" s="22" t="str">
        <x:v>执行分配、覆盖、评分</x:v>
      </x:c>
      <x:c r="G60" s="22" t="str">
        <x:v>查询 audit</x:v>
      </x:c>
      <x:c r="H60" s="22" t="str">
        <x:v>记录 actor/resource/reason/request_id</x:v>
      </x:c>
      <x:c r="I60" s="22" t="str">
        <x:v>日志不含完整答案与 Token</x:v>
      </x:c>
      <x:c r="J60" s="22" t="str">
        <x:v>P0</x:v>
      </x:c>
      <x:c r="K60" s="22" t="str">
        <x:v>Integration</x:v>
      </x:c>
      <x:c r="L60" s="22" t="str">
        <x:v>是</x:v>
      </x:c>
      <x:c r="M60" s="22" t="str">
        <x:v>未执行</x:v>
      </x:c>
      <x:c r="N60" s="22" t="str"/>
    </x:row>
    <x:row r="61" ht="58" customHeight="1">
      <x:c r="A61" s="22" t="str">
        <x:v>TC-057</x:v>
      </x:c>
      <x:c r="B61" s="22" t="str">
        <x:v>File</x:v>
      </x:c>
      <x:c r="C61" s="22" t="str">
        <x:v>对象存储租户前缀</x:v>
      </x:c>
      <x:c r="D61" s="22" t="str">
        <x:v>学生</x:v>
      </x:c>
      <x:c r="E61" s="22" t="str">
        <x:v>tenant_a</x:v>
      </x:c>
      <x:c r="F61" s="22" t="str">
        <x:v>允许上传</x:v>
      </x:c>
      <x:c r="G61" s="22" t="str">
        <x:v>申请预签名 URL</x:v>
      </x:c>
      <x:c r="H61" s="22" t="str">
        <x:v>tenant_a 前缀</x:v>
      </x:c>
      <x:c r="I61" s="22" t="str">
        <x:v>tenant_b 无法完成或读取</x:v>
      </x:c>
      <x:c r="J61" s="22" t="str">
        <x:v>P0</x:v>
      </x:c>
      <x:c r="K61" s="22" t="str">
        <x:v>Security</x:v>
      </x:c>
      <x:c r="L61" s="22" t="str">
        <x:v>是</x:v>
      </x:c>
      <x:c r="M61" s="22" t="str">
        <x:v>未执行</x:v>
      </x:c>
      <x:c r="N61" s="22" t="str"/>
    </x:row>
    <x:row r="62" ht="58" customHeight="1">
      <x:c r="A62" s="22" t="str">
        <x:v>TC-058</x:v>
      </x:c>
      <x:c r="B62" s="22" t="str">
        <x:v>File</x:v>
      </x:c>
      <x:c r="C62" s="22" t="str">
        <x:v>MIME 与病毒扫描</x:v>
      </x:c>
      <x:c r="D62" s="22" t="str">
        <x:v>内容管理员</x:v>
      </x:c>
      <x:c r="E62" s="22" t="str">
        <x:v>tenant_a</x:v>
      </x:c>
      <x:c r="F62" s="22" t="str">
        <x:v>上传伪装文件</x:v>
      </x:c>
      <x:c r="G62" s="22" t="str">
        <x:v>完成上传</x:v>
      </x:c>
      <x:c r="H62" s="22" t="str">
        <x:v>quarantined</x:v>
      </x:c>
      <x:c r="I62" s="22" t="str">
        <x:v>未通过扫描不可发布/下载</x:v>
      </x:c>
      <x:c r="J62" s="22" t="str">
        <x:v>P0</x:v>
      </x:c>
      <x:c r="K62" s="22" t="str">
        <x:v>Security</x:v>
      </x:c>
      <x:c r="L62" s="22" t="str">
        <x:v>部分</x:v>
      </x:c>
      <x:c r="M62" s="22" t="str">
        <x:v>未执行</x:v>
      </x:c>
      <x:c r="N62" s="22" t="str"/>
    </x:row>
    <x:row r="63" ht="58" customHeight="1">
      <x:c r="A63" s="22" t="str">
        <x:v>TC-059</x:v>
      </x:c>
      <x:c r="B63" s="22" t="str">
        <x:v>File</x:v>
      </x:c>
      <x:c r="C63" s="22" t="str">
        <x:v>签名 URL 过期</x:v>
      </x:c>
      <x:c r="D63" s="22" t="str">
        <x:v>用户</x:v>
      </x:c>
      <x:c r="E63" s="22" t="str">
        <x:v>tenant_a</x:v>
      </x:c>
      <x:c r="F63" s="22" t="str">
        <x:v>URL 已签发</x:v>
      </x:c>
      <x:c r="G63" s="22" t="str">
        <x:v>过期后访问</x:v>
      </x:c>
      <x:c r="H63" s="22" t="str">
        <x:v>403</x:v>
      </x:c>
      <x:c r="I63" s="22" t="str">
        <x:v>URL 短期有效且不可跨对象复用</x:v>
      </x:c>
      <x:c r="J63" s="22" t="str">
        <x:v>P1</x:v>
      </x:c>
      <x:c r="K63" s="22" t="str">
        <x:v>Security</x:v>
      </x:c>
      <x:c r="L63" s="22" t="str">
        <x:v>是</x:v>
      </x:c>
      <x:c r="M63" s="22" t="str">
        <x:v>未执行</x:v>
      </x:c>
      <x:c r="N63" s="22" t="str"/>
    </x:row>
    <x:row r="64" ht="58" customHeight="1">
      <x:c r="A64" s="22" t="str">
        <x:v>TC-060</x:v>
      </x:c>
      <x:c r="B64" s="22" t="str">
        <x:v>Progress</x:v>
      </x:c>
      <x:c r="C64" s="22" t="str">
        <x:v>进度投影最终一致</x:v>
      </x:c>
      <x:c r="D64" s="22" t="str">
        <x:v>系统</x:v>
      </x:c>
      <x:c r="E64" s="22" t="str">
        <x:v>tenant_a</x:v>
      </x:c>
      <x:c r="F64" s="22" t="str">
        <x:v>任务已完成</x:v>
      </x:c>
      <x:c r="G64" s="22" t="str">
        <x:v>处理 outbox</x:v>
      </x:c>
      <x:c r="H64" s="22" t="str">
        <x:v>projection 更新</x:v>
      </x:c>
      <x:c r="I64" s="22" t="str">
        <x:v>重放不重复累计</x:v>
      </x:c>
      <x:c r="J64" s="22" t="str">
        <x:v>P1</x:v>
      </x:c>
      <x:c r="K64" s="22" t="str">
        <x:v>Integration</x:v>
      </x:c>
      <x:c r="L64" s="22" t="str">
        <x:v>是</x:v>
      </x:c>
      <x:c r="M64" s="22" t="str">
        <x:v>未执行</x:v>
      </x:c>
      <x:c r="N64" s="22" t="str"/>
    </x:row>
    <x:row r="65" ht="58" customHeight="1">
      <x:c r="A65" s="22" t="str">
        <x:v>TC-061</x:v>
      </x:c>
      <x:c r="B65" s="22" t="str">
        <x:v>Progress</x:v>
      </x:c>
      <x:c r="C65" s="22" t="str">
        <x:v>基础进度统计</x:v>
      </x:c>
      <x:c r="D65" s="22" t="str">
        <x:v>学生/教师</x:v>
      </x:c>
      <x:c r="E65" s="22" t="str">
        <x:v>tenant_a</x:v>
      </x:c>
      <x:c r="F65" s="22" t="str">
        <x:v>多任务完成</x:v>
      </x:c>
      <x:c r="G65" s="22" t="str">
        <x:v>查询 progress</x:v>
      </x:c>
      <x:c r="H65" s="22" t="str">
        <x:v>完成率/分数趋势正确</x:v>
      </x:c>
      <x:c r="I65" s="22" t="str">
        <x:v>只统计可计分且未取消记录</x:v>
      </x:c>
      <x:c r="J65" s="22" t="str">
        <x:v>P1</x:v>
      </x:c>
      <x:c r="K65" s="22" t="str">
        <x:v>Integration</x:v>
      </x:c>
      <x:c r="L65" s="22" t="str">
        <x:v>是</x:v>
      </x:c>
      <x:c r="M65" s="22" t="str">
        <x:v>未执行</x:v>
      </x:c>
      <x:c r="N65" s="22" t="str"/>
    </x:row>
    <x:row r="66" ht="58" customHeight="1">
      <x:c r="A66" s="22" t="str">
        <x:v>TC-062</x:v>
      </x:c>
      <x:c r="B66" s="22" t="str">
        <x:v>E2E</x:v>
      </x:c>
      <x:c r="C66" s="22" t="str">
        <x:v>机构开户到首批任务</x:v>
      </x:c>
      <x:c r="D66" s="22" t="str">
        <x:v>管理员/学生</x:v>
      </x:c>
      <x:c r="E66" s="22" t="str">
        <x:v>tenant_a</x:v>
      </x:c>
      <x:c r="F66" s="22" t="str">
        <x:v>机构已创建</x:v>
      </x:c>
      <x:c r="G66" s="22" t="str">
        <x:v>邀请、注册、Onboarding、入 General/TOEFL</x:v>
      </x:c>
      <x:c r="H66" s="22" t="str">
        <x:v>Dashboard 有任务</x:v>
      </x:c>
      <x:c r="I66" s="22" t="str">
        <x:v>全流程 request_id 可追踪</x:v>
      </x:c>
      <x:c r="J66" s="22" t="str">
        <x:v>P0</x:v>
      </x:c>
      <x:c r="K66" s="22" t="str">
        <x:v>E2E</x:v>
      </x:c>
      <x:c r="L66" s="22" t="str">
        <x:v>是</x:v>
      </x:c>
      <x:c r="M66" s="22" t="str">
        <x:v>未执行</x:v>
      </x:c>
      <x:c r="N66" s="22" t="str"/>
    </x:row>
    <x:row r="67" ht="58" customHeight="1">
      <x:c r="A67" s="22" t="str">
        <x:v>TC-063</x:v>
      </x:c>
      <x:c r="B67" s="22" t="str">
        <x:v>E2E</x:v>
      </x:c>
      <x:c r="C67" s="22" t="str">
        <x:v>教师布置到反馈查看</x:v>
      </x:c>
      <x:c r="D67" s="22" t="str">
        <x:v>教师/学生</x:v>
      </x:c>
      <x:c r="E67" s="22" t="str">
        <x:v>tenant_a</x:v>
      </x:c>
      <x:c r="F67" s="22" t="str">
        <x:v>师生关系有效</x:v>
      </x:c>
      <x:c r="G67" s="22" t="str">
        <x:v>分配、作答、提交、评分、反馈</x:v>
      </x:c>
      <x:c r="H67" s="22" t="str">
        <x:v>状态完整闭环</x:v>
      </x:c>
      <x:c r="I67" s="22" t="str">
        <x:v>学生最终看到正确成绩与反馈</x:v>
      </x:c>
      <x:c r="J67" s="22" t="str">
        <x:v>P0</x:v>
      </x:c>
      <x:c r="K67" s="22" t="str">
        <x:v>E2E</x:v>
      </x:c>
      <x:c r="L67" s="22" t="str">
        <x:v>是</x:v>
      </x:c>
      <x:c r="M67" s="22" t="str">
        <x:v>未执行</x:v>
      </x:c>
      <x:c r="N67" s="22" t="str"/>
    </x:row>
    <x:row r="68" ht="58" customHeight="1">
      <x:c r="A68" s="22" t="str">
        <x:v>TC-064</x:v>
      </x:c>
      <x:c r="B68" s="22" t="str">
        <x:v>E2E</x:v>
      </x:c>
      <x:c r="C68" s="22" t="str">
        <x:v>跨租户资源枚举</x:v>
      </x:c>
      <x:c r="D68" s="22" t="str">
        <x:v>恶意成员</x:v>
      </x:c>
      <x:c r="E68" s="22" t="str">
        <x:v>tenant_b</x:v>
      </x:c>
      <x:c r="F68" s="22" t="str">
        <x:v>获知 tenant_a UUID</x:v>
      </x:c>
      <x:c r="G68" s="22" t="str">
        <x:v>遍历学生/任务/提交/文件端点</x:v>
      </x:c>
      <x:c r="H68" s="22" t="str">
        <x:v>统一 404</x:v>
      </x:c>
      <x:c r="I68" s="22" t="str">
        <x:v>无时序/字段差异泄漏</x:v>
      </x:c>
      <x:c r="J68" s="22" t="str">
        <x:v>P0</x:v>
      </x:c>
      <x:c r="K68" s="22" t="str">
        <x:v>Security</x:v>
      </x:c>
      <x:c r="L68" s="22" t="str">
        <x:v>是</x:v>
      </x:c>
      <x:c r="M68" s="22" t="str">
        <x:v>未执行</x:v>
      </x:c>
      <x:c r="N68" s="22" t="str"/>
    </x:row>
    <x:row r="69" ht="58" customHeight="1">
      <x:c r="A69" s="23" t="str">
        <x:v>TC-065</x:v>
      </x:c>
      <x:c r="B69" s="23" t="str">
        <x:v>Contract</x:v>
      </x:c>
      <x:c r="C69" s="23" t="str">
        <x:v>OpenAPI 请求响应一致</x:v>
      </x:c>
      <x:c r="D69" s="23" t="str">
        <x:v>CI</x:v>
      </x:c>
      <x:c r="E69" s="23" t="str">
        <x:v>全局</x:v>
      </x:c>
      <x:c r="F69" s="23" t="str">
        <x:v>API 与契约构建完成</x:v>
      </x:c>
      <x:c r="G69" s="23" t="str">
        <x:v>运行 contract tests</x:v>
      </x:c>
      <x:c r="H69" s="23" t="str">
        <x:v>无未声明字段/状态码</x:v>
      </x:c>
      <x:c r="I69" s="23" t="str">
        <x:v>前端客户端可生成</x:v>
      </x:c>
      <x:c r="J69" s="23" t="str">
        <x:v>P0</x:v>
      </x:c>
      <x:c r="K69" s="23" t="str">
        <x:v>Contract</x:v>
      </x:c>
      <x:c r="L69" s="23" t="str">
        <x:v>是</x:v>
      </x:c>
      <x:c r="M69" s="23" t="str">
        <x:v>未执行</x:v>
      </x:c>
      <x:c r="N69" s="23" t="str"/>
    </x:row>
  </x:sheetData>
  <x:mergeCells>
    <x:mergeCell ref="A1:N1"/>
    <x:mergeCell ref="A2:N2"/>
  </x:mergeCells>
  <x:conditionalFormatting sqref="J5:J200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M5:M200">
    <x:cfRule type="containsText" dxfId="3" priority="4" operator="containsText" text="通过"/>
    <x:cfRule type="containsText" dxfId="4" priority="5" operator="containsText" text="失败"/>
    <x:cfRule type="containsText" dxfId="5" priority="6" operator="containsText" text="阻塞"/>
  </x:conditionalFormatting>
  <x:dataValidations count="4">
    <x:dataValidation type="list" sqref="J5:J200">
      <x:formula1>"P0,P1,P2"</x:formula1>
    </x:dataValidation>
    <x:dataValidation type="list" sqref="K5:K200">
      <x:formula1>"Unit,Integration,E2E,Security,Contract,Performance,Recovery"</x:formula1>
    </x:dataValidation>
    <x:dataValidation type="list" sqref="L5:L200">
      <x:formula1>"是,否,部分"</x:formula1>
    </x:dataValidation>
    <x:dataValidation type="list" sqref="M5:M200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627111fe14b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24" hidden="0" customWidth="1"/>
    <x:col min="5" max="5" width="30" hidden="0" customWidth="1"/>
    <x:col min="6" max="6" width="28" hidden="0" customWidth="1"/>
    <x:col min="7" max="7" width="22" hidden="0" customWidth="1"/>
    <x:col min="8" max="8" width="10" hidden="0" customWidth="1"/>
    <x:col min="9" max="9" width="12" hidden="0" customWidth="1"/>
    <x:col min="10" max="10" width="24" hidden="0" customWidth="1"/>
  </x:cols>
  <x:sheetData>
    <x:row r="1" ht="32" customHeight="1">
      <x:c r="A1" s="3" t="str">
        <x:v>PostgreSQL RLS 与跨租户约束验证</x:v>
      </x:c>
      <x:c r="B1" s="3" t="str">
        <x:v>PostgreSQL RLS 与跨租户约束验证</x:v>
      </x:c>
      <x:c r="C1" s="3" t="str">
        <x:v>PostgreSQL RLS 与跨租户约束验证</x:v>
      </x:c>
      <x:c r="D1" s="3" t="str">
        <x:v>PostgreSQL RLS 与跨租户约束验证</x:v>
      </x:c>
      <x:c r="E1" s="3" t="str">
        <x:v>PostgreSQL RLS 与跨租户约束验证</x:v>
      </x:c>
      <x:c r="F1" s="3" t="str">
        <x:v>PostgreSQL RLS 与跨租户约束验证</x:v>
      </x:c>
      <x:c r="G1" s="3" t="str">
        <x:v>PostgreSQL RLS 与跨租户约束验证</x:v>
      </x:c>
      <x:c r="H1" s="3" t="str">
        <x:v>PostgreSQL RLS 与跨租户约束验证</x:v>
      </x:c>
      <x:c r="I1" s="3" t="str">
        <x:v>PostgreSQL RLS 与跨租户约束验证</x:v>
      </x:c>
      <x:c r="J1" s="3" t="str">
        <x:v>PostgreSQL RLS 与跨租户约束验证</x:v>
      </x:c>
    </x:row>
    <x:row r="2" ht="28" customHeight="1">
      <x:c r="A2" s="7" t="str">
        <x:v>所有测试必须使用生产等价运行时角色；SQL 示例由实现仓库补充。</x:v>
      </x:c>
      <x:c r="B2" s="7" t="str">
        <x:v>所有测试必须使用生产等价运行时角色；SQL 示例由实现仓库补充。</x:v>
      </x:c>
      <x:c r="C2" s="7" t="str">
        <x:v>所有测试必须使用生产等价运行时角色；SQL 示例由实现仓库补充。</x:v>
      </x:c>
      <x:c r="D2" s="7" t="str">
        <x:v>所有测试必须使用生产等价运行时角色；SQL 示例由实现仓库补充。</x:v>
      </x:c>
      <x:c r="E2" s="7" t="str">
        <x:v>所有测试必须使用生产等价运行时角色；SQL 示例由实现仓库补充。</x:v>
      </x:c>
      <x:c r="F2" s="7" t="str">
        <x:v>所有测试必须使用生产等价运行时角色；SQL 示例由实现仓库补充。</x:v>
      </x:c>
      <x:c r="G2" s="7" t="str">
        <x:v>所有测试必须使用生产等价运行时角色；SQL 示例由实现仓库补充。</x:v>
      </x:c>
      <x:c r="H2" s="7" t="str">
        <x:v>所有测试必须使用生产等价运行时角色；SQL 示例由实现仓库补充。</x:v>
      </x:c>
      <x:c r="I2" s="7" t="str">
        <x:v>所有测试必须使用生产等价运行时角色；SQL 示例由实现仓库补充。</x:v>
      </x:c>
      <x:c r="J2" s="7" t="str">
        <x:v>所有测试必须使用生产等价运行时角色；SQL 示例由实现仓库补充。</x:v>
      </x:c>
    </x:row>
    <x:row r="4" ht="32" customHeight="1">
      <x:c r="A4" s="13" t="str">
        <x:v>ID</x:v>
      </x:c>
      <x:c r="B4" s="13" t="str">
        <x:v>Table / Layer</x:v>
      </x:c>
      <x:c r="C4" s="13" t="str">
        <x:v>Scenario</x:v>
      </x:c>
      <x:c r="D4" s="13" t="str">
        <x:v>Session Context</x:v>
      </x:c>
      <x:c r="E4" s="13" t="str">
        <x:v>Operation</x:v>
      </x:c>
      <x:c r="F4" s="13" t="str">
        <x:v>Expected DB Result</x:v>
      </x:c>
      <x:c r="G4" s="13" t="str">
        <x:v>Expected API Result</x:v>
      </x:c>
      <x:c r="H4" s="13" t="str">
        <x:v>Priority</x:v>
      </x:c>
      <x:c r="I4" s="13" t="str">
        <x:v>Status</x:v>
      </x:c>
      <x:c r="J4" s="13" t="str">
        <x:v>Evidence / Owner</x:v>
      </x:c>
    </x:row>
    <x:row r="5" ht="52" customHeight="1">
      <x:c r="A5" s="21" t="str">
        <x:v>RLS-001</x:v>
      </x:c>
      <x:c r="B5" s="21" t="str">
        <x:v>tenant_memberships</x:v>
      </x:c>
      <x:c r="C5" s="21" t="str">
        <x:v>读取其他租户成员</x:v>
      </x:c>
      <x:c r="D5" s="21" t="str">
        <x:v>tenant_b/user_b</x:v>
      </x:c>
      <x:c r="E5" s="21" t="str">
        <x:v>SELECT tenant_a row</x:v>
      </x:c>
      <x:c r="F5" s="21" t="str">
        <x:v>0 rows</x:v>
      </x:c>
      <x:c r="G5" s="21" t="str">
        <x:v>404</x:v>
      </x:c>
      <x:c r="H5" s="21" t="str">
        <x:v>P0</x:v>
      </x:c>
      <x:c r="I5" s="21" t="str">
        <x:v>未执行</x:v>
      </x:c>
      <x:c r="J5" s="21" t="str"/>
    </x:row>
    <x:row r="6" ht="52" customHeight="1">
      <x:c r="A6" s="22" t="str">
        <x:v>RLS-002</x:v>
      </x:c>
      <x:c r="B6" s="22" t="str">
        <x:v>student_profiles</x:v>
      </x:c>
      <x:c r="C6" s="22" t="str">
        <x:v>按已知 UUID 读取跨租户学生</x:v>
      </x:c>
      <x:c r="D6" s="22" t="str">
        <x:v>tenant_b/user_b</x:v>
      </x:c>
      <x:c r="E6" s="22" t="str">
        <x:v>SELECT/GET</x:v>
      </x:c>
      <x:c r="F6" s="22" t="str">
        <x:v>0 rows</x:v>
      </x:c>
      <x:c r="G6" s="22" t="str">
        <x:v>404</x:v>
      </x:c>
      <x:c r="H6" s="22" t="str">
        <x:v>P0</x:v>
      </x:c>
      <x:c r="I6" s="22" t="str">
        <x:v>未执行</x:v>
      </x:c>
      <x:c r="J6" s="22" t="str"/>
    </x:row>
    <x:row r="7" ht="52" customHeight="1">
      <x:c r="A7" s="22" t="str">
        <x:v>RLS-003</x:v>
      </x:c>
      <x:c r="B7" s="22" t="str">
        <x:v>student_profiles</x:v>
      </x:c>
      <x:c r="C7" s="22" t="str">
        <x:v>遗漏 ORM tenant 条件</x:v>
      </x:c>
      <x:c r="D7" s="22" t="str">
        <x:v>tenant_b/user_b</x:v>
      </x:c>
      <x:c r="E7" s="22" t="str">
        <x:v>SELECT by id only</x:v>
      </x:c>
      <x:c r="F7" s="22" t="str">
        <x:v>0 rows</x:v>
      </x:c>
      <x:c r="G7" s="22" t="str">
        <x:v>404</x:v>
      </x:c>
      <x:c r="H7" s="22" t="str">
        <x:v>P0</x:v>
      </x:c>
      <x:c r="I7" s="22" t="str">
        <x:v>未执行</x:v>
      </x:c>
      <x:c r="J7" s="22" t="str"/>
    </x:row>
    <x:row r="8" ht="52" customHeight="1">
      <x:c r="A8" s="22" t="str">
        <x:v>RLS-004</x:v>
      </x:c>
      <x:c r="B8" s="22" t="str">
        <x:v>task_assignments</x:v>
      </x:c>
      <x:c r="C8" s="22" t="str">
        <x:v>跨租户 INSERT target</x:v>
      </x:c>
      <x:c r="D8" s="22" t="str">
        <x:v>tenant_b/teacher_b</x:v>
      </x:c>
      <x:c r="E8" s="22" t="str">
        <x:v>INSERT referencing tenant_a student</x:v>
      </x:c>
      <x:c r="F8" s="22" t="str">
        <x:v>FK/RLS error</x:v>
      </x:c>
      <x:c r="G8" s="22" t="str">
        <x:v>404/409</x:v>
      </x:c>
      <x:c r="H8" s="22" t="str">
        <x:v>P0</x:v>
      </x:c>
      <x:c r="I8" s="22" t="str">
        <x:v>未执行</x:v>
      </x:c>
      <x:c r="J8" s="22" t="str"/>
    </x:row>
    <x:row r="9" ht="52" customHeight="1">
      <x:c r="A9" s="22" t="str">
        <x:v>RLS-005</x:v>
      </x:c>
      <x:c r="B9" s="22" t="str">
        <x:v>student_task_items</x:v>
      </x:c>
      <x:c r="C9" s="22" t="str">
        <x:v>Worker 正确租户上下文</x:v>
      </x:c>
      <x:c r="D9" s="22" t="str">
        <x:v>tenant_a/worker</x:v>
      </x:c>
      <x:c r="E9" s="22" t="str">
        <x:v>UPSERT tenant_a</x:v>
      </x:c>
      <x:c r="F9" s="22" t="str">
        <x:v>1 row</x:v>
      </x:c>
      <x:c r="G9" s="22" t="str">
        <x:v>n/a</x:v>
      </x:c>
      <x:c r="H9" s="22" t="str">
        <x:v>P0</x:v>
      </x:c>
      <x:c r="I9" s="22" t="str">
        <x:v>未执行</x:v>
      </x:c>
      <x:c r="J9" s="22" t="str"/>
    </x:row>
    <x:row r="10" ht="52" customHeight="1">
      <x:c r="A10" s="22" t="str">
        <x:v>RLS-006</x:v>
      </x:c>
      <x:c r="B10" s="22" t="str">
        <x:v>student_task_items</x:v>
      </x:c>
      <x:c r="C10" s="22" t="str">
        <x:v>Worker 缺上下文</x:v>
      </x:c>
      <x:c r="D10" s="22" t="str">
        <x:v>empty/worker</x:v>
      </x:c>
      <x:c r="E10" s="22" t="str">
        <x:v>UPSERT</x:v>
      </x:c>
      <x:c r="F10" s="22" t="str">
        <x:v>error/0 rows</x:v>
      </x:c>
      <x:c r="G10" s="22" t="str">
        <x:v>job failed</x:v>
      </x:c>
      <x:c r="H10" s="22" t="str">
        <x:v>P0</x:v>
      </x:c>
      <x:c r="I10" s="22" t="str">
        <x:v>未执行</x:v>
      </x:c>
      <x:c r="J10" s="22" t="str"/>
    </x:row>
    <x:row r="11" ht="52" customHeight="1">
      <x:c r="A11" s="22" t="str">
        <x:v>RLS-007</x:v>
      </x:c>
      <x:c r="B11" s="22" t="str">
        <x:v>task_attempts</x:v>
      </x:c>
      <x:c r="C11" s="22" t="str">
        <x:v>跨租户创建 attempt</x:v>
      </x:c>
      <x:c r="D11" s="22" t="str">
        <x:v>tenant_b/student_b</x:v>
      </x:c>
      <x:c r="E11" s="22" t="str">
        <x:v>INSERT for tenant_a item</x:v>
      </x:c>
      <x:c r="F11" s="22" t="str">
        <x:v>FK/RLS error</x:v>
      </x:c>
      <x:c r="G11" s="22" t="str">
        <x:v>404</x:v>
      </x:c>
      <x:c r="H11" s="22" t="str">
        <x:v>P0</x:v>
      </x:c>
      <x:c r="I11" s="22" t="str">
        <x:v>未执行</x:v>
      </x:c>
      <x:c r="J11" s="22" t="str"/>
    </x:row>
    <x:row r="12" ht="52" customHeight="1">
      <x:c r="A12" s="22" t="str">
        <x:v>RLS-008</x:v>
      </x:c>
      <x:c r="B12" s="22" t="str">
        <x:v>submission_snapshots</x:v>
      </x:c>
      <x:c r="C12" s="22" t="str">
        <x:v>教师关系存在</x:v>
      </x:c>
      <x:c r="D12" s="22" t="str">
        <x:v>tenant_a/teacher_a</x:v>
      </x:c>
      <x:c r="E12" s="22" t="str">
        <x:v>SELECT related student</x:v>
      </x:c>
      <x:c r="F12" s="22" t="str">
        <x:v>rows visible</x:v>
      </x:c>
      <x:c r="G12" s="22" t="str">
        <x:v>200</x:v>
      </x:c>
      <x:c r="H12" s="22" t="str">
        <x:v>P0</x:v>
      </x:c>
      <x:c r="I12" s="22" t="str">
        <x:v>未执行</x:v>
      </x:c>
      <x:c r="J12" s="22" t="str"/>
    </x:row>
    <x:row r="13" ht="52" customHeight="1">
      <x:c r="A13" s="22" t="str">
        <x:v>RLS-009</x:v>
      </x:c>
      <x:c r="B13" s="22" t="str">
        <x:v>submission_snapshots</x:v>
      </x:c>
      <x:c r="C13" s="22" t="str">
        <x:v>同租户无关系教师</x:v>
      </x:c>
      <x:c r="D13" s="22" t="str">
        <x:v>tenant_a/teacher_x</x:v>
      </x:c>
      <x:c r="E13" s="22" t="str">
        <x:v>SELECT unrelated student</x:v>
      </x:c>
      <x:c r="F13" s="22" t="str">
        <x:v>0 rows/authorization deny</x:v>
      </x:c>
      <x:c r="G13" s="22" t="str">
        <x:v>404</x:v>
      </x:c>
      <x:c r="H13" s="22" t="str">
        <x:v>P0</x:v>
      </x:c>
      <x:c r="I13" s="22" t="str">
        <x:v>未执行</x:v>
      </x:c>
      <x:c r="J13" s="22" t="str"/>
    </x:row>
    <x:row r="14" ht="52" customHeight="1">
      <x:c r="A14" s="22" t="str">
        <x:v>RLS-010</x:v>
      </x:c>
      <x:c r="B14" s="22" t="str">
        <x:v>score_decisions</x:v>
      </x:c>
      <x:c r="C14" s="22" t="str">
        <x:v>教师修改既有决策</x:v>
      </x:c>
      <x:c r="D14" s="22" t="str">
        <x:v>tenant_a/teacher_a</x:v>
      </x:c>
      <x:c r="E14" s="22" t="str">
        <x:v>UPDATE published decision</x:v>
      </x:c>
      <x:c r="F14" s="22" t="str">
        <x:v>deny</x:v>
      </x:c>
      <x:c r="G14" s="22" t="str">
        <x:v>409</x:v>
      </x:c>
      <x:c r="H14" s="22" t="str">
        <x:v>P0</x:v>
      </x:c>
      <x:c r="I14" s="22" t="str">
        <x:v>未执行</x:v>
      </x:c>
      <x:c r="J14" s="22" t="str"/>
    </x:row>
    <x:row r="15" ht="52" customHeight="1">
      <x:c r="A15" s="22" t="str">
        <x:v>RLS-011</x:v>
      </x:c>
      <x:c r="B15" s="22" t="str">
        <x:v>platform.contents</x:v>
      </x:c>
      <x:c r="C15" s="22" t="str">
        <x:v>租户读取平台内容</x:v>
      </x:c>
      <x:c r="D15" s="22" t="str">
        <x:v>tenant_a/member</x:v>
      </x:c>
      <x:c r="E15" s="22" t="str">
        <x:v>SELECT published</x:v>
      </x:c>
      <x:c r="F15" s="22" t="str">
        <x:v>rows visible</x:v>
      </x:c>
      <x:c r="G15" s="22" t="str">
        <x:v>200</x:v>
      </x:c>
      <x:c r="H15" s="22" t="str">
        <x:v>P0</x:v>
      </x:c>
      <x:c r="I15" s="22" t="str">
        <x:v>未执行</x:v>
      </x:c>
      <x:c r="J15" s="22" t="str"/>
    </x:row>
    <x:row r="16" ht="52" customHeight="1">
      <x:c r="A16" s="22" t="str">
        <x:v>RLS-012</x:v>
      </x:c>
      <x:c r="B16" s="22" t="str">
        <x:v>platform.contents</x:v>
      </x:c>
      <x:c r="C16" s="22" t="str">
        <x:v>租户写平台内容</x:v>
      </x:c>
      <x:c r="D16" s="22" t="str">
        <x:v>tenant_a/admin</x:v>
      </x:c>
      <x:c r="E16" s="22" t="str">
        <x:v>UPDATE/DELETE</x:v>
      </x:c>
      <x:c r="F16" s="22" t="str">
        <x:v>deny</x:v>
      </x:c>
      <x:c r="G16" s="22" t="str">
        <x:v>403/409</x:v>
      </x:c>
      <x:c r="H16" s="22" t="str">
        <x:v>P0</x:v>
      </x:c>
      <x:c r="I16" s="22" t="str">
        <x:v>未执行</x:v>
      </x:c>
      <x:c r="J16" s="22" t="str"/>
    </x:row>
    <x:row r="17" ht="52" customHeight="1">
      <x:c r="A17" s="22" t="str">
        <x:v>RLS-013</x:v>
      </x:c>
      <x:c r="B17" s="22" t="str">
        <x:v>contents</x:v>
      </x:c>
      <x:c r="C17" s="22" t="str">
        <x:v>复制平台内容</x:v>
      </x:c>
      <x:c r="D17" s="22" t="str">
        <x:v>tenant_a/admin</x:v>
      </x:c>
      <x:c r="E17" s="22" t="str">
        <x:v>INSERT tenant copy</x:v>
      </x:c>
      <x:c r="F17" s="22" t="str">
        <x:v>1 row</x:v>
      </x:c>
      <x:c r="G17" s="22" t="str">
        <x:v>201</x:v>
      </x:c>
      <x:c r="H17" s="22" t="str">
        <x:v>P1</x:v>
      </x:c>
      <x:c r="I17" s="22" t="str">
        <x:v>未执行</x:v>
      </x:c>
      <x:c r="J17" s="22" t="str"/>
    </x:row>
    <x:row r="18" ht="52" customHeight="1">
      <x:c r="A18" s="22" t="str">
        <x:v>RLS-014</x:v>
      </x:c>
      <x:c r="B18" s="22" t="str">
        <x:v>file_objects</x:v>
      </x:c>
      <x:c r="C18" s="22" t="str">
        <x:v>跨租户对象元数据</x:v>
      </x:c>
      <x:c r="D18" s="22" t="str">
        <x:v>tenant_b/user_b</x:v>
      </x:c>
      <x:c r="E18" s="22" t="str">
        <x:v>SELECT tenant_a key</x:v>
      </x:c>
      <x:c r="F18" s="22" t="str">
        <x:v>0 rows</x:v>
      </x:c>
      <x:c r="G18" s="22" t="str">
        <x:v>404</x:v>
      </x:c>
      <x:c r="H18" s="22" t="str">
        <x:v>P0</x:v>
      </x:c>
      <x:c r="I18" s="22" t="str">
        <x:v>未执行</x:v>
      </x:c>
      <x:c r="J18" s="22" t="str"/>
    </x:row>
    <x:row r="19" ht="52" customHeight="1">
      <x:c r="A19" s="22" t="str">
        <x:v>RLS-015</x:v>
      </x:c>
      <x:c r="B19" s="22" t="str">
        <x:v>audit_logs</x:v>
      </x:c>
      <x:c r="C19" s="22" t="str">
        <x:v>普通教师读取审计</x:v>
      </x:c>
      <x:c r="D19" s="22" t="str">
        <x:v>tenant_a/teacher</x:v>
      </x:c>
      <x:c r="E19" s="22" t="str">
        <x:v>SELECT</x:v>
      </x:c>
      <x:c r="F19" s="22" t="str">
        <x:v>0 rows/deny</x:v>
      </x:c>
      <x:c r="G19" s="22" t="str">
        <x:v>403</x:v>
      </x:c>
      <x:c r="H19" s="22" t="str">
        <x:v>P1</x:v>
      </x:c>
      <x:c r="I19" s="22" t="str">
        <x:v>未执行</x:v>
      </x:c>
      <x:c r="J19" s="22" t="str"/>
    </x:row>
    <x:row r="20" ht="52" customHeight="1">
      <x:c r="A20" s="22" t="str">
        <x:v>RLS-016</x:v>
      </x:c>
      <x:c r="B20" s="22" t="str">
        <x:v>all tenant tables</x:v>
      </x:c>
      <x:c r="C20" s="22" t="str">
        <x:v>运行时角色 BYPASSRLS</x:v>
      </x:c>
      <x:c r="D20" s="22" t="str">
        <x:v>runtime role</x:v>
      </x:c>
      <x:c r="E20" s="22" t="str">
        <x:v>SHOW/role inspection</x:v>
      </x:c>
      <x:c r="F20" s="22" t="str">
        <x:v>false</x:v>
      </x:c>
      <x:c r="G20" s="22" t="str">
        <x:v>CI gate</x:v>
      </x:c>
      <x:c r="H20" s="22" t="str">
        <x:v>P0</x:v>
      </x:c>
      <x:c r="I20" s="22" t="str">
        <x:v>未执行</x:v>
      </x:c>
      <x:c r="J20" s="22" t="str"/>
    </x:row>
    <x:row r="21" ht="52" customHeight="1">
      <x:c r="A21" s="22" t="str">
        <x:v>RLS-017</x:v>
      </x:c>
      <x:c r="B21" s="22" t="str">
        <x:v>all tenant tables</x:v>
      </x:c>
      <x:c r="C21" s="22" t="str">
        <x:v>表所有权检查</x:v>
      </x:c>
      <x:c r="D21" s="22" t="str">
        <x:v>runtime role</x:v>
      </x:c>
      <x:c r="E21" s="22" t="str">
        <x:v>ownership inspection</x:v>
      </x:c>
      <x:c r="F21" s="22" t="str">
        <x:v>not owner</x:v>
      </x:c>
      <x:c r="G21" s="22" t="str">
        <x:v>CI gate</x:v>
      </x:c>
      <x:c r="H21" s="22" t="str">
        <x:v>P0</x:v>
      </x:c>
      <x:c r="I21" s="22" t="str">
        <x:v>未执行</x:v>
      </x:c>
      <x:c r="J21" s="22" t="str"/>
    </x:row>
    <x:row r="22" ht="52" customHeight="1">
      <x:c r="A22" s="22" t="str">
        <x:v>RLS-018</x:v>
      </x:c>
      <x:c r="B22" s="22" t="str">
        <x:v>composite FKs</x:v>
      </x:c>
      <x:c r="C22" s="22" t="str">
        <x:v>相同 UUID 不同 tenant</x:v>
      </x:c>
      <x:c r="D22" s="22" t="str">
        <x:v>tenant_b/admin</x:v>
      </x:c>
      <x:c r="E22" s="22" t="str">
        <x:v>INSERT cross-tenant FK</x:v>
      </x:c>
      <x:c r="F22" s="22" t="str">
        <x:v>constraint error</x:v>
      </x:c>
      <x:c r="G22" s="22" t="str">
        <x:v>409</x:v>
      </x:c>
      <x:c r="H22" s="22" t="str">
        <x:v>P0</x:v>
      </x:c>
      <x:c r="I22" s="22" t="str">
        <x:v>未执行</x:v>
      </x:c>
      <x:c r="J22" s="22" t="str"/>
    </x:row>
    <x:row r="23" ht="52" customHeight="1">
      <x:c r="A23" s="22" t="str">
        <x:v>RLS-019</x:v>
      </x:c>
      <x:c r="B23" s="22" t="str">
        <x:v>idempotency_records</x:v>
      </x:c>
      <x:c r="C23" s="22" t="str">
        <x:v>跨租户复用相同 key</x:v>
      </x:c>
      <x:c r="D23" s="22" t="str">
        <x:v>tenant_a/tenant_b</x:v>
      </x:c>
      <x:c r="E23" s="22" t="str">
        <x:v>POST same key</x:v>
      </x:c>
      <x:c r="F23" s="22" t="str">
        <x:v>两条隔离记录</x:v>
      </x:c>
      <x:c r="G23" s="22" t="str">
        <x:v>独立响应</x:v>
      </x:c>
      <x:c r="H23" s="22" t="str">
        <x:v>P0</x:v>
      </x:c>
      <x:c r="I23" s="22" t="str">
        <x:v>未执行</x:v>
      </x:c>
      <x:c r="J23" s="22" t="str"/>
    </x:row>
    <x:row r="24" ht="52" customHeight="1">
      <x:c r="A24" s="23" t="str">
        <x:v>RLS-020</x:v>
      </x:c>
      <x:c r="B24" s="23" t="str">
        <x:v>progress_projections</x:v>
      </x:c>
      <x:c r="C24" s="23" t="str">
        <x:v>跨租户聚合污染</x:v>
      </x:c>
      <x:c r="D24" s="23" t="str">
        <x:v>tenant_b/worker</x:v>
      </x:c>
      <x:c r="E24" s="23" t="str">
        <x:v>aggregate tenant_a event</x:v>
      </x:c>
      <x:c r="F24" s="23" t="str">
        <x:v>deny/dead-letter</x:v>
      </x:c>
      <x:c r="G24" s="23" t="str">
        <x:v>alert</x:v>
      </x:c>
      <x:c r="H24" s="23" t="str">
        <x:v>P0</x:v>
      </x:c>
      <x:c r="I24" s="23" t="str">
        <x:v>未执行</x:v>
      </x:c>
      <x:c r="J24" s="23" t="str"/>
    </x:row>
  </x:sheetData>
  <x:mergeCells>
    <x:mergeCell ref="A1:J1"/>
    <x:mergeCell ref="A2:J2"/>
  </x:mergeCells>
  <x:conditionalFormatting sqref="H5:H100">
    <x:cfRule type="containsText" dxfId="6" priority="1" operator="containsText" text="P0"/>
  </x:conditionalFormatting>
  <x:conditionalFormatting sqref="I5:I100">
    <x:cfRule type="containsText" dxfId="7" priority="2" operator="containsText" text="通过"/>
    <x:cfRule type="containsText" dxfId="8" priority="3" operator="containsText" text="失败"/>
  </x:conditionalFormatting>
  <x:dataValidations count="2">
    <x:dataValidation type="list" sqref="H5:H100">
      <x:formula1>"P0,P1,P2"</x:formula1>
    </x:dataValidation>
    <x:dataValidation type="list" sqref="I5:I100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0d3d76c6e743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4" hidden="0" customWidth="1"/>
    <x:col min="5" max="5" width="22" hidden="0" customWidth="1"/>
    <x:col min="6" max="6" width="36" hidden="0" customWidth="1"/>
    <x:col min="7" max="7" width="10" hidden="0" customWidth="1"/>
    <x:col min="8" max="8" width="12" hidden="0" customWidth="1"/>
    <x:col min="9" max="9" width="24" hidden="0" customWidth="1"/>
  </x:cols>
  <x:sheetData>
    <x:row r="1" ht="32" customHeight="1">
      <x:c r="A1" s="3" t="str">
        <x:v>性能、恢复与运维验收</x:v>
      </x:c>
      <x:c r="B1" s="3" t="str">
        <x:v>性能、恢复与运维验收</x:v>
      </x:c>
      <x:c r="C1" s="3" t="str">
        <x:v>性能、恢复与运维验收</x:v>
      </x:c>
      <x:c r="D1" s="3" t="str">
        <x:v>性能、恢复与运维验收</x:v>
      </x:c>
      <x:c r="E1" s="3" t="str">
        <x:v>性能、恢复与运维验收</x:v>
      </x:c>
      <x:c r="F1" s="3" t="str">
        <x:v>性能、恢复与运维验收</x:v>
      </x:c>
      <x:c r="G1" s="3" t="str">
        <x:v>性能、恢复与运维验收</x:v>
      </x:c>
      <x:c r="H1" s="3" t="str">
        <x:v>性能、恢复与运维验收</x:v>
      </x:c>
      <x:c r="I1" s="3" t="str">
        <x:v>性能、恢复与运维验收</x:v>
      </x:c>
    </x:row>
    <x:row r="2" ht="28" customHeight="1">
      <x:c r="A2" s="7" t="str">
        <x:v>阈值来自 V1.1 SLO；具体压测脚本和恢复记录由实现仓库保存。</x:v>
      </x:c>
      <x:c r="B2" s="7" t="str">
        <x:v>阈值来自 V1.1 SLO；具体压测脚本和恢复记录由实现仓库保存。</x:v>
      </x:c>
      <x:c r="C2" s="7" t="str">
        <x:v>阈值来自 V1.1 SLO；具体压测脚本和恢复记录由实现仓库保存。</x:v>
      </x:c>
      <x:c r="D2" s="7" t="str">
        <x:v>阈值来自 V1.1 SLO；具体压测脚本和恢复记录由实现仓库保存。</x:v>
      </x:c>
      <x:c r="E2" s="7" t="str">
        <x:v>阈值来自 V1.1 SLO；具体压测脚本和恢复记录由实现仓库保存。</x:v>
      </x:c>
      <x:c r="F2" s="7" t="str">
        <x:v>阈值来自 V1.1 SLO；具体压测脚本和恢复记录由实现仓库保存。</x:v>
      </x:c>
      <x:c r="G2" s="7" t="str">
        <x:v>阈值来自 V1.1 SLO；具体压测脚本和恢复记录由实现仓库保存。</x:v>
      </x:c>
      <x:c r="H2" s="7" t="str">
        <x:v>阈值来自 V1.1 SLO；具体压测脚本和恢复记录由实现仓库保存。</x:v>
      </x:c>
      <x:c r="I2" s="7" t="str">
        <x:v>阈值来自 V1.1 SLO；具体压测脚本和恢复记录由实现仓库保存。</x:v>
      </x:c>
    </x:row>
    <x:row r="4" ht="32" customHeight="1">
      <x:c r="A4" s="13" t="str">
        <x:v>ID</x:v>
      </x:c>
      <x:c r="B4" s="13" t="str">
        <x:v>Category</x:v>
      </x:c>
      <x:c r="C4" s="13" t="str">
        <x:v>Scenario</x:v>
      </x:c>
      <x:c r="D4" s="13" t="str">
        <x:v>Load / Failure</x:v>
      </x:c>
      <x:c r="E4" s="13" t="str">
        <x:v>Metric</x:v>
      </x:c>
      <x:c r="F4" s="13" t="str">
        <x:v>Acceptance</x:v>
      </x:c>
      <x:c r="G4" s="13" t="str">
        <x:v>Priority</x:v>
      </x:c>
      <x:c r="H4" s="13" t="str">
        <x:v>Status</x:v>
      </x:c>
      <x:c r="I4" s="13" t="str">
        <x:v>Evidence / Owner</x:v>
      </x:c>
    </x:row>
    <x:row r="5" ht="52" customHeight="1">
      <x:c r="A5" s="21" t="str">
        <x:v>OPS-001</x:v>
      </x:c>
      <x:c r="B5" s="21" t="str">
        <x:v>Performance</x:v>
      </x:c>
      <x:c r="C5" s="21" t="str">
        <x:v>常规 API</x:v>
      </x:c>
      <x:c r="D5" s="21" t="str">
        <x:v>1000 并发用户代表性混合流量</x:v>
      </x:c>
      <x:c r="E5" s="21" t="str">
        <x:v>P95 latency</x:v>
      </x:c>
      <x:c r="F5" s="21" t="str">
        <x:v>&lt; 500 ms，错误率 &lt; 1%</x:v>
      </x:c>
      <x:c r="G5" s="21" t="str">
        <x:v>P0</x:v>
      </x:c>
      <x:c r="H5" s="21" t="str">
        <x:v>未执行</x:v>
      </x:c>
      <x:c r="I5" s="21" t="str"/>
    </x:row>
    <x:row r="6" ht="52" customHeight="1">
      <x:c r="A6" s="22" t="str">
        <x:v>OPS-002</x:v>
      </x:c>
      <x:c r="B6" s="22" t="str">
        <x:v>Performance</x:v>
      </x:c>
      <x:c r="C6" s="22" t="str">
        <x:v>自动保存</x:v>
      </x:c>
      <x:c r="D6" s="22" t="str">
        <x:v>峰值并发写入，含 10% revision 冲突</x:v>
      </x:c>
      <x:c r="E6" s="22" t="str">
        <x:v>P95 latency</x:v>
      </x:c>
      <x:c r="F6" s="22" t="str">
        <x:v>&lt; 300 ms；冲突不丢答案</x:v>
      </x:c>
      <x:c r="G6" s="22" t="str">
        <x:v>P0</x:v>
      </x:c>
      <x:c r="H6" s="22" t="str">
        <x:v>未执行</x:v>
      </x:c>
      <x:c r="I6" s="22" t="str"/>
    </x:row>
    <x:row r="7" ht="52" customHeight="1">
      <x:c r="A7" s="22" t="str">
        <x:v>OPS-003</x:v>
      </x:c>
      <x:c r="B7" s="22" t="str">
        <x:v>Performance</x:v>
      </x:c>
      <x:c r="C7" s="22" t="str">
        <x:v>学生任务列表</x:v>
      </x:c>
      <x:c r="D7" s="22" t="str">
        <x:v>每学生 500 个历史 item、50 个活动 item</x:v>
      </x:c>
      <x:c r="E7" s="22" t="str">
        <x:v>P95 latency</x:v>
      </x:c>
      <x:c r="F7" s="22" t="str">
        <x:v>&lt; 500 ms；游标稳定</x:v>
      </x:c>
      <x:c r="G7" s="22" t="str">
        <x:v>P1</x:v>
      </x:c>
      <x:c r="H7" s="22" t="str">
        <x:v>未执行</x:v>
      </x:c>
      <x:c r="I7" s="22" t="str"/>
    </x:row>
    <x:row r="8" ht="52" customHeight="1">
      <x:c r="A8" s="22" t="str">
        <x:v>OPS-004</x:v>
      </x:c>
      <x:c r="B8" s="22" t="str">
        <x:v>Queue</x:v>
      </x:c>
      <x:c r="C8" s="22" t="str">
        <x:v>任务解析积压</x:v>
      </x:c>
      <x:c r="D8" s="22" t="str">
        <x:v>突发 10,000 assignment targets</x:v>
      </x:c>
      <x:c r="E8" s="22" t="str">
        <x:v>queue lag</x:v>
      </x:c>
      <x:c r="F8" s="22" t="str">
        <x:v>P95 &lt; 60 s；无重复 item</x:v>
      </x:c>
      <x:c r="G8" s="22" t="str">
        <x:v>P0</x:v>
      </x:c>
      <x:c r="H8" s="22" t="str">
        <x:v>未执行</x:v>
      </x:c>
      <x:c r="I8" s="22" t="str"/>
    </x:row>
    <x:row r="9" ht="52" customHeight="1">
      <x:c r="A9" s="22" t="str">
        <x:v>OPS-005</x:v>
      </x:c>
      <x:c r="B9" s="22" t="str">
        <x:v>Reliability</x:v>
      </x:c>
      <x:c r="C9" s="22" t="str">
        <x:v>Outbox 重放</x:v>
      </x:c>
      <x:c r="D9" s="22" t="str">
        <x:v>Worker 崩溃于事务提交后</x:v>
      </x:c>
      <x:c r="E9" s="22" t="str">
        <x:v>duplicate effects</x:v>
      </x:c>
      <x:c r="F9" s="22" t="str">
        <x:v>0；可安全重放</x:v>
      </x:c>
      <x:c r="G9" s="22" t="str">
        <x:v>P0</x:v>
      </x:c>
      <x:c r="H9" s="22" t="str">
        <x:v>未执行</x:v>
      </x:c>
      <x:c r="I9" s="22" t="str"/>
    </x:row>
    <x:row r="10" ht="52" customHeight="1">
      <x:c r="A10" s="22" t="str">
        <x:v>OPS-006</x:v>
      </x:c>
      <x:c r="B10" s="22" t="str">
        <x:v>Recovery</x:v>
      </x:c>
      <x:c r="C10" s="22" t="str">
        <x:v>PostgreSQL PITR</x:v>
      </x:c>
      <x:c r="D10" s="22" t="str">
        <x:v>模拟误删除并恢复到指定时间</x:v>
      </x:c>
      <x:c r="E10" s="22" t="str">
        <x:v>RPO/RTO</x:v>
      </x:c>
      <x:c r="F10" s="22" t="str">
        <x:v>RPO ≤ 15 min；RTO ≤ 4 h</x:v>
      </x:c>
      <x:c r="G10" s="22" t="str">
        <x:v>P0</x:v>
      </x:c>
      <x:c r="H10" s="22" t="str">
        <x:v>未执行</x:v>
      </x:c>
      <x:c r="I10" s="22" t="str"/>
    </x:row>
    <x:row r="11" ht="52" customHeight="1">
      <x:c r="A11" s="22" t="str">
        <x:v>OPS-007</x:v>
      </x:c>
      <x:c r="B11" s="22" t="str">
        <x:v>Recovery</x:v>
      </x:c>
      <x:c r="C11" s="22" t="str">
        <x:v>对象存储恢复</x:v>
      </x:c>
      <x:c r="D11" s="22" t="str">
        <x:v>删除测试对象并从版本/备份恢复</x:v>
      </x:c>
      <x:c r="E11" s="22" t="str">
        <x:v>integrity</x:v>
      </x:c>
      <x:c r="F11" s="22" t="str">
        <x:v>哈希一致；权限不扩大</x:v>
      </x:c>
      <x:c r="G11" s="22" t="str">
        <x:v>P1</x:v>
      </x:c>
      <x:c r="H11" s="22" t="str">
        <x:v>未执行</x:v>
      </x:c>
      <x:c r="I11" s="22" t="str"/>
    </x:row>
    <x:row r="12" ht="52" customHeight="1">
      <x:c r="A12" s="22" t="str">
        <x:v>OPS-008</x:v>
      </x:c>
      <x:c r="B12" s="22" t="str">
        <x:v>Migration</x:v>
      </x:c>
      <x:c r="C12" s="22" t="str">
        <x:v>失败 Migration 回滚</x:v>
      </x:c>
      <x:c r="D12" s="22" t="str">
        <x:v>在 staging 注入失败</x:v>
      </x:c>
      <x:c r="E12" s="22" t="str">
        <x:v>service/data</x:v>
      </x:c>
      <x:c r="F12" s="22" t="str">
        <x:v>服务恢复；无部分 schema</x:v>
      </x:c>
      <x:c r="G12" s="22" t="str">
        <x:v>P0</x:v>
      </x:c>
      <x:c r="H12" s="22" t="str">
        <x:v>未执行</x:v>
      </x:c>
      <x:c r="I12" s="22" t="str"/>
    </x:row>
    <x:row r="13" ht="52" customHeight="1">
      <x:c r="A13" s="22" t="str">
        <x:v>OPS-009</x:v>
      </x:c>
      <x:c r="B13" s="22" t="str">
        <x:v>Observability</x:v>
      </x:c>
      <x:c r="C13" s="22" t="str">
        <x:v>跨租户拒绝告警</x:v>
      </x:c>
      <x:c r="D13" s="22" t="str">
        <x:v>短时大量 404/RLS deny</x:v>
      </x:c>
      <x:c r="E13" s="22" t="str">
        <x:v>alert latency</x:v>
      </x:c>
      <x:c r="F13" s="22" t="str">
        <x:v>5 分钟内告警且无 PII</x:v>
      </x:c>
      <x:c r="G13" s="22" t="str">
        <x:v>P1</x:v>
      </x:c>
      <x:c r="H13" s="22" t="str">
        <x:v>未执行</x:v>
      </x:c>
      <x:c r="I13" s="22" t="str"/>
    </x:row>
    <x:row r="14" ht="52" customHeight="1">
      <x:c r="A14" s="22" t="str">
        <x:v>OPS-010</x:v>
      </x:c>
      <x:c r="B14" s="22" t="str">
        <x:v>Observability</x:v>
      </x:c>
      <x:c r="C14" s="22" t="str">
        <x:v>Outbox/BullMQ 积压</x:v>
      </x:c>
      <x:c r="D14" s="22" t="str">
        <x:v>暂停 Worker</x:v>
      </x:c>
      <x:c r="E14" s="22" t="str">
        <x:v>alert latency</x:v>
      </x:c>
      <x:c r="F14" s="22" t="str">
        <x:v>阈值触发且恢复后清零</x:v>
      </x:c>
      <x:c r="G14" s="22" t="str">
        <x:v>P1</x:v>
      </x:c>
      <x:c r="H14" s="22" t="str">
        <x:v>未执行</x:v>
      </x:c>
      <x:c r="I14" s="22" t="str"/>
    </x:row>
    <x:row r="15" ht="52" customHeight="1">
      <x:c r="A15" s="22" t="str">
        <x:v>OPS-011</x:v>
      </x:c>
      <x:c r="B15" s="22" t="str">
        <x:v>Security</x:v>
      </x:c>
      <x:c r="C15" s="22" t="str">
        <x:v>密钥轮换</x:v>
      </x:c>
      <x:c r="D15" s="22" t="str">
        <x:v>轮换 Cookie/对象签名密钥</x:v>
      </x:c>
      <x:c r="E15" s="22" t="str">
        <x:v>session/access</x:v>
      </x:c>
      <x:c r="F15" s="22" t="str">
        <x:v>按策略平滑迁移，无长期双密钥</x:v>
      </x:c>
      <x:c r="G15" s="22" t="str">
        <x:v>P1</x:v>
      </x:c>
      <x:c r="H15" s="22" t="str">
        <x:v>未执行</x:v>
      </x:c>
      <x:c r="I15" s="22" t="str"/>
    </x:row>
    <x:row r="16" ht="52" customHeight="1">
      <x:c r="A16" s="22" t="str">
        <x:v>OPS-012</x:v>
      </x:c>
      <x:c r="B16" s="22" t="str">
        <x:v>Privacy</x:v>
      </x:c>
      <x:c r="C16" s="22" t="str">
        <x:v>数据删除与保留</x:v>
      </x:c>
      <x:c r="D16" s="22" t="str">
        <x:v>执行学生删除请求</x:v>
      </x:c>
      <x:c r="E16" s="22" t="str">
        <x:v>audit/data</x:v>
      </x:c>
      <x:c r="F16" s="22" t="str">
        <x:v>按批准策略匿名化/删除并保留必要审计</x:v>
      </x:c>
      <x:c r="G16" s="22" t="str">
        <x:v>P0</x:v>
      </x:c>
      <x:c r="H16" s="22" t="str">
        <x:v>未执行</x:v>
      </x:c>
      <x:c r="I16" s="22" t="str"/>
    </x:row>
    <x:row r="17" ht="52" customHeight="1">
      <x:c r="A17" s="22" t="str">
        <x:v>OPS-013</x:v>
      </x:c>
      <x:c r="B17" s="22" t="str">
        <x:v>Availability</x:v>
      </x:c>
      <x:c r="C17" s="22" t="str">
        <x:v>依赖降级</x:v>
      </x:c>
      <x:c r="D17" s="22" t="str">
        <x:v>Redis 或邮件服务不可用</x:v>
      </x:c>
      <x:c r="E17" s="22" t="str">
        <x:v>core workflow</x:v>
      </x:c>
      <x:c r="F17" s="22" t="str">
        <x:v>答题/提交保持可用；异步任务可重试</x:v>
      </x:c>
      <x:c r="G17" s="22" t="str">
        <x:v>P1</x:v>
      </x:c>
      <x:c r="H17" s="22" t="str">
        <x:v>未执行</x:v>
      </x:c>
      <x:c r="I17" s="22" t="str"/>
    </x:row>
    <x:row r="18" ht="52" customHeight="1">
      <x:c r="A18" s="23" t="str">
        <x:v>OPS-014</x:v>
      </x:c>
      <x:c r="B18" s="23" t="str">
        <x:v>File</x:v>
      </x:c>
      <x:c r="C18" s="23" t="str">
        <x:v>恶意文件隔离</x:v>
      </x:c>
      <x:c r="D18" s="23" t="str">
        <x:v>扫描服务超时/失败</x:v>
      </x:c>
      <x:c r="E18" s="23" t="str">
        <x:v>exposure</x:v>
      </x:c>
      <x:c r="F18" s="23" t="str">
        <x:v>对象保持 quarantined，不可签名下载</x:v>
      </x:c>
      <x:c r="G18" s="23" t="str">
        <x:v>P0</x:v>
      </x:c>
      <x:c r="H18" s="23" t="str">
        <x:v>未执行</x:v>
      </x:c>
      <x:c r="I18" s="23" t="str"/>
    </x:row>
  </x:sheetData>
  <x:mergeCells>
    <x:mergeCell ref="A1:I1"/>
    <x:mergeCell ref="A2:I2"/>
  </x:mergeCells>
  <x:conditionalFormatting sqref="G5:G100">
    <x:cfRule type="containsText" dxfId="9" priority="1" operator="containsText" text="P0"/>
  </x:conditionalFormatting>
  <x:conditionalFormatting sqref="H5:H100">
    <x:cfRule type="containsText" dxfId="10" priority="2" operator="containsText" text="通过"/>
    <x:cfRule type="containsText" dxfId="11" priority="3" operator="containsText" text="失败"/>
  </x:conditionalFormatting>
  <x:dataValidations count="2">
    <x:dataValidation type="list" sqref="G5:G100">
      <x:formula1>"P0,P1,P2"</x:formula1>
    </x:dataValidation>
    <x:dataValidation type="list" sqref="H5:H100">
      <x:formula1>"未执行,通过,失败,阻塞"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d4e6bf903d4292"/>
  </x:tableParts>
</x:worksheet>
</file>